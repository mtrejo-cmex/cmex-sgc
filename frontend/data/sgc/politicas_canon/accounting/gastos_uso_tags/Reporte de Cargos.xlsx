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00653\Documents\2024\Politicas\Politica Gastos de Uso de Tag\Politica y Proceso de Control\"/>
    </mc:Choice>
  </mc:AlternateContent>
  <xr:revisionPtr revIDLastSave="0" documentId="8_{AF0DDD71-FE67-4073-A3B2-C1003224F345}" xr6:coauthVersionLast="47" xr6:coauthVersionMax="47" xr10:uidLastSave="{00000000-0000-0000-0000-000000000000}"/>
  <bookViews>
    <workbookView xWindow="-110" yWindow="-110" windowWidth="19420" windowHeight="10300" xr2:uid="{9994049A-46FD-468B-A0C9-9A2270EFCCC3}"/>
  </bookViews>
  <sheets>
    <sheet name="Formato" sheetId="1" r:id="rId1"/>
    <sheet name="Opciones" sheetId="2" state="hidden" r:id="rId2"/>
    <sheet name="Estructura cecos Jul2024" sheetId="3" state="hidden" r:id="rId3"/>
  </sheets>
  <definedNames>
    <definedName name="_xlnm.Print_Area" localSheetId="0">Formato!$B$4:$G$41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K27" i="3"/>
  <c r="M26" i="3"/>
  <c r="K26" i="3"/>
  <c r="M25" i="3"/>
  <c r="K25" i="3"/>
  <c r="M24" i="3"/>
  <c r="K24" i="3"/>
  <c r="M23" i="3"/>
  <c r="K23" i="3"/>
  <c r="M22" i="3"/>
  <c r="K22" i="3"/>
  <c r="M21" i="3"/>
  <c r="K21" i="3"/>
  <c r="M20" i="3"/>
  <c r="K20" i="3"/>
  <c r="M19" i="3"/>
  <c r="K19" i="3"/>
  <c r="M18" i="3"/>
  <c r="K18" i="3"/>
  <c r="M17" i="3"/>
  <c r="K17" i="3"/>
  <c r="M16" i="3"/>
  <c r="K16" i="3"/>
  <c r="M15" i="3"/>
  <c r="K15" i="3"/>
  <c r="M14" i="3"/>
  <c r="K14" i="3"/>
  <c r="M13" i="3"/>
  <c r="K13" i="3"/>
  <c r="M12" i="3"/>
  <c r="K12" i="3"/>
  <c r="M11" i="3"/>
  <c r="K11" i="3"/>
  <c r="M10" i="3"/>
  <c r="K10" i="3"/>
  <c r="M9" i="3"/>
  <c r="K9" i="3"/>
  <c r="M8" i="3"/>
  <c r="K8" i="3"/>
  <c r="M7" i="3"/>
  <c r="K7" i="3"/>
  <c r="M6" i="3"/>
  <c r="K6" i="3"/>
  <c r="M5" i="3"/>
  <c r="K5" i="3"/>
  <c r="D7" i="1"/>
  <c r="G36" i="3"/>
</calcChain>
</file>

<file path=xl/sharedStrings.xml><?xml version="1.0" encoding="utf-8"?>
<sst xmlns="http://schemas.openxmlformats.org/spreadsheetml/2006/main" count="548" uniqueCount="210">
  <si>
    <t>Código de Centro de Costos</t>
  </si>
  <si>
    <t>Periodo de Facturación</t>
  </si>
  <si>
    <t>Clave de Empleado</t>
  </si>
  <si>
    <t>Nombre de Empleados</t>
  </si>
  <si>
    <t>Num de Cruces</t>
  </si>
  <si>
    <t>Monto de Total de Casetas</t>
  </si>
  <si>
    <t>Aceptado</t>
  </si>
  <si>
    <t>Cuenta Contable</t>
  </si>
  <si>
    <t>Aceptado (Si o No)</t>
  </si>
  <si>
    <t>Si</t>
  </si>
  <si>
    <t>No</t>
  </si>
  <si>
    <t>Seleccionar</t>
  </si>
  <si>
    <t>Nombre Departamento</t>
  </si>
  <si>
    <t>JULY 2024</t>
  </si>
  <si>
    <t>COST CENTER STRUCTURE</t>
  </si>
  <si>
    <t>Area</t>
  </si>
  <si>
    <t>RH</t>
  </si>
  <si>
    <t>S21</t>
  </si>
  <si>
    <t>ARCS</t>
  </si>
  <si>
    <t>Corporate Communications</t>
  </si>
  <si>
    <t>AA030 / 493001</t>
  </si>
  <si>
    <t>AA030</t>
  </si>
  <si>
    <t>ADMIN</t>
  </si>
  <si>
    <t>General Affairs</t>
  </si>
  <si>
    <t>AA220 / 492201</t>
  </si>
  <si>
    <t>AA220</t>
  </si>
  <si>
    <t>Human Resources</t>
  </si>
  <si>
    <t>AA210 / 492101</t>
  </si>
  <si>
    <t>AA210</t>
  </si>
  <si>
    <t>IT</t>
  </si>
  <si>
    <t>AA130 / 497001</t>
  </si>
  <si>
    <t>AA130</t>
  </si>
  <si>
    <t>Legal</t>
  </si>
  <si>
    <t>AA020 / 496101</t>
  </si>
  <si>
    <t>AA020</t>
  </si>
  <si>
    <t xml:space="preserve">Logistics </t>
  </si>
  <si>
    <t>AA140 / 495003</t>
  </si>
  <si>
    <t>AA140</t>
  </si>
  <si>
    <t>Traffic</t>
  </si>
  <si>
    <t>AA150</t>
  </si>
  <si>
    <t>Procurement</t>
  </si>
  <si>
    <t>AA230 / 492301</t>
  </si>
  <si>
    <t>AA230</t>
  </si>
  <si>
    <t>AA110 / 494101</t>
  </si>
  <si>
    <t>AA110</t>
  </si>
  <si>
    <t>Credit and Collection</t>
  </si>
  <si>
    <t>AA120 / 496102</t>
  </si>
  <si>
    <t>AA120</t>
  </si>
  <si>
    <t>Financial Services</t>
  </si>
  <si>
    <t>AA160 / 495012</t>
  </si>
  <si>
    <t>AA160</t>
  </si>
  <si>
    <t>Internal Audit</t>
  </si>
  <si>
    <t>AA050 / 494301</t>
  </si>
  <si>
    <t>AA050</t>
  </si>
  <si>
    <t>Presidency</t>
  </si>
  <si>
    <t>AA010 / 490001</t>
  </si>
  <si>
    <t>AA010</t>
  </si>
  <si>
    <t>ADM</t>
  </si>
  <si>
    <t>Leasing Revenue</t>
  </si>
  <si>
    <t>AA300 / 414002</t>
  </si>
  <si>
    <t>AA300</t>
  </si>
  <si>
    <t>Dealers Sales</t>
  </si>
  <si>
    <t>AV210 / 411001</t>
  </si>
  <si>
    <t>AV210</t>
  </si>
  <si>
    <t>208</t>
  </si>
  <si>
    <t>Dealer</t>
  </si>
  <si>
    <t>PPS Sales</t>
  </si>
  <si>
    <t>KV700 / 411301</t>
  </si>
  <si>
    <t>KV700</t>
  </si>
  <si>
    <t>161</t>
  </si>
  <si>
    <t>Enterprise Business Solutions Direct Sales</t>
  </si>
  <si>
    <t>AV240 / 411307</t>
  </si>
  <si>
    <t>AV240</t>
  </si>
  <si>
    <t>101</t>
  </si>
  <si>
    <t>EBSS</t>
  </si>
  <si>
    <t>Business Printing Sales Mktg</t>
  </si>
  <si>
    <t>AV340 / 413116</t>
  </si>
  <si>
    <t>AV340</t>
  </si>
  <si>
    <t>North Zone BICG</t>
  </si>
  <si>
    <t>Managed Delivery Services</t>
  </si>
  <si>
    <t>AV260 / 411406</t>
  </si>
  <si>
    <t>AV260</t>
  </si>
  <si>
    <t>ADMIN BICG</t>
  </si>
  <si>
    <t>RFB Service</t>
  </si>
  <si>
    <t>AV270 / 411104</t>
  </si>
  <si>
    <t>AV270</t>
  </si>
  <si>
    <t>Care Center</t>
  </si>
  <si>
    <t>AV280 / 411002</t>
  </si>
  <si>
    <t>AV280</t>
  </si>
  <si>
    <t>411002</t>
  </si>
  <si>
    <t>Direct Service (OBS)</t>
  </si>
  <si>
    <t>AV510 / 421101</t>
  </si>
  <si>
    <t>AV510</t>
  </si>
  <si>
    <t>Direct Service (PPS)</t>
  </si>
  <si>
    <t>AV540 / 426006</t>
  </si>
  <si>
    <t>AV540</t>
  </si>
  <si>
    <t>426006</t>
  </si>
  <si>
    <t>Service Administration</t>
  </si>
  <si>
    <t>AV500 / 426011</t>
  </si>
  <si>
    <t>AV500</t>
  </si>
  <si>
    <t xml:space="preserve">Solutions Technical support </t>
  </si>
  <si>
    <t>AV250 / 426012</t>
  </si>
  <si>
    <t>AV250</t>
  </si>
  <si>
    <t>Product Planning &amp; Mktg.OBS</t>
  </si>
  <si>
    <t>AV220 / 461101</t>
  </si>
  <si>
    <t>AV220</t>
  </si>
  <si>
    <t>Product Planning &amp; Mktg.PPS</t>
  </si>
  <si>
    <t>AV320 / 411302</t>
  </si>
  <si>
    <t>AV320</t>
  </si>
  <si>
    <t>Business Planning Services</t>
  </si>
  <si>
    <t>AV230 / 470001</t>
  </si>
  <si>
    <t>AV230</t>
  </si>
  <si>
    <t>Strategic Analysis &amp; Opp Mgmt</t>
  </si>
  <si>
    <t>AV310 / 426014</t>
  </si>
  <si>
    <t>AV310</t>
  </si>
  <si>
    <t>Retail Sales</t>
  </si>
  <si>
    <t>AV620 / 411403</t>
  </si>
  <si>
    <t>AV620</t>
  </si>
  <si>
    <t>ok</t>
  </si>
  <si>
    <t>141</t>
  </si>
  <si>
    <t>Retail</t>
  </si>
  <si>
    <t>Photoshop Sales</t>
  </si>
  <si>
    <t>AV630 / 411401</t>
  </si>
  <si>
    <t>AV630</t>
  </si>
  <si>
    <t>142</t>
  </si>
  <si>
    <t>Photoshop</t>
  </si>
  <si>
    <t>Wholesaler Sales</t>
  </si>
  <si>
    <t>AV640 / 411003</t>
  </si>
  <si>
    <t>AV640</t>
  </si>
  <si>
    <t>Wholesaler</t>
  </si>
  <si>
    <t>Mktg. &amp; Sales Cinema BCTV</t>
  </si>
  <si>
    <t>AV690 / 411408</t>
  </si>
  <si>
    <t>AV690</t>
  </si>
  <si>
    <t>143</t>
  </si>
  <si>
    <t>BCTV</t>
  </si>
  <si>
    <t>Tienda Canon  |  Digital Marketing &amp; Design</t>
  </si>
  <si>
    <t>AV670 / 460410</t>
  </si>
  <si>
    <t>AV670</t>
  </si>
  <si>
    <t>172</t>
  </si>
  <si>
    <t>E-commerce</t>
  </si>
  <si>
    <t>Canon Academy  &amp; Print Spot</t>
  </si>
  <si>
    <t>AV710 / 425103</t>
  </si>
  <si>
    <t>AV710</t>
  </si>
  <si>
    <t>Cambio en S21</t>
  </si>
  <si>
    <t>173</t>
  </si>
  <si>
    <t>New Business</t>
  </si>
  <si>
    <t>Consumer Direct Sales</t>
  </si>
  <si>
    <t>AV700 / 411310</t>
  </si>
  <si>
    <t>AV700</t>
  </si>
  <si>
    <t>Photo Service</t>
  </si>
  <si>
    <t>AV520 / 421401</t>
  </si>
  <si>
    <t>AV520</t>
  </si>
  <si>
    <t>LATAM Mktgn</t>
  </si>
  <si>
    <t>AV720 / 480101</t>
  </si>
  <si>
    <t>AV720</t>
  </si>
  <si>
    <t>North Zone ITCG</t>
  </si>
  <si>
    <t>Consumer Sales Marketing</t>
  </si>
  <si>
    <t>AV730 / 413110</t>
  </si>
  <si>
    <t>AV730</t>
  </si>
  <si>
    <t xml:space="preserve">Business Operation </t>
  </si>
  <si>
    <t>AV730 / 411103</t>
  </si>
  <si>
    <t>Service Administration ITCG</t>
  </si>
  <si>
    <t>AV530</t>
  </si>
  <si>
    <t>ADMIN ITCG</t>
  </si>
  <si>
    <t>Product Planning &amp; Mktg. Camera IJP   |    Product Planning &amp; Mktg. SOHO/LFP</t>
  </si>
  <si>
    <t>AV660 / 431001</t>
  </si>
  <si>
    <t>AV660</t>
  </si>
  <si>
    <t>Trade Marketing</t>
  </si>
  <si>
    <t>AV600 / 460012</t>
  </si>
  <si>
    <t>AV600</t>
  </si>
  <si>
    <t>Event Experience &amp; CPS</t>
  </si>
  <si>
    <t>AV610 / 461401</t>
  </si>
  <si>
    <t>AV610</t>
  </si>
  <si>
    <t>Consumer Bussiness Planning &amp; Adm</t>
  </si>
  <si>
    <t>AV680 / 470401</t>
  </si>
  <si>
    <t>AV680</t>
  </si>
  <si>
    <t>Consumer Product Control</t>
  </si>
  <si>
    <t>AV650 / 470402</t>
  </si>
  <si>
    <t>AV650</t>
  </si>
  <si>
    <t>Accounting/Budget and Treasury</t>
  </si>
  <si>
    <t>494101</t>
  </si>
  <si>
    <t>492301</t>
  </si>
  <si>
    <t>495002</t>
  </si>
  <si>
    <t>ACU</t>
  </si>
  <si>
    <t>041</t>
  </si>
  <si>
    <t>63101503</t>
  </si>
  <si>
    <t>ZZ</t>
  </si>
  <si>
    <t>000</t>
  </si>
  <si>
    <t>0000</t>
  </si>
  <si>
    <t>DH</t>
  </si>
  <si>
    <t>5B</t>
  </si>
  <si>
    <t>UO</t>
  </si>
  <si>
    <t>AA</t>
  </si>
  <si>
    <t>Cia</t>
  </si>
  <si>
    <t>Branch</t>
  </si>
  <si>
    <t>Cost Center</t>
  </si>
  <si>
    <t>Cuenta</t>
  </si>
  <si>
    <t>Channel Code</t>
  </si>
  <si>
    <t>GL Product</t>
  </si>
  <si>
    <t>Aff Code</t>
  </si>
  <si>
    <t>Project Code</t>
  </si>
  <si>
    <t>TBD</t>
  </si>
  <si>
    <t>ACU-041-999999-11991002-999-ZZ-000-0000-000</t>
  </si>
  <si>
    <t>Total</t>
  </si>
  <si>
    <t>Favor de NO modificar las celdas en color azul, solo seleccionar.</t>
  </si>
  <si>
    <t>Las celdas en color gris son condicionados según centro de costos y estatus de gasto</t>
  </si>
  <si>
    <t>FORMATO DE ANALISIS DE GASTOS DE CASETAS</t>
  </si>
  <si>
    <t>Autorizo</t>
  </si>
  <si>
    <t>Gerente</t>
  </si>
  <si>
    <t>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</si>
</sst>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10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2" fillId="0" borderId="0" xfId="2" applyAlignment="1">
      <alignment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49" fontId="3" fillId="3" borderId="2" xfId="3" applyNumberFormat="1" applyFont="1" applyFill="1" applyBorder="1" applyAlignment="1">
      <alignment horizontal="center" vertical="center"/>
    </xf>
    <xf numFmtId="0" fontId="2" fillId="0" borderId="0" xfId="3" applyFont="1" applyAlignment="1">
      <alignment vertical="center"/>
    </xf>
    <xf numFmtId="0" fontId="3" fillId="0" borderId="2" xfId="3" applyFont="1" applyBorder="1" applyAlignment="1">
      <alignment horizontal="center" vertical="center"/>
    </xf>
    <xf numFmtId="0" fontId="2" fillId="0" borderId="3" xfId="3" applyFont="1" applyBorder="1" applyAlignment="1">
      <alignment vertical="center"/>
    </xf>
    <xf numFmtId="0" fontId="3" fillId="0" borderId="2" xfId="3" applyFont="1" applyBorder="1" applyAlignment="1">
      <alignment horizontal="center" vertical="center" wrapText="1"/>
    </xf>
    <xf numFmtId="0" fontId="2" fillId="0" borderId="0" xfId="2" applyAlignment="1">
      <alignment vertical="center" wrapText="1"/>
    </xf>
    <xf numFmtId="0" fontId="3" fillId="0" borderId="2" xfId="3" quotePrefix="1" applyFont="1" applyBorder="1" applyAlignment="1">
      <alignment horizontal="center" vertical="center"/>
    </xf>
    <xf numFmtId="0" fontId="2" fillId="0" borderId="2" xfId="5" applyFont="1" applyBorder="1" applyAlignment="1">
      <alignment horizontal="center" vertical="center"/>
    </xf>
    <xf numFmtId="0" fontId="2" fillId="4" borderId="0" xfId="2" applyFill="1" applyAlignment="1">
      <alignment vertical="center"/>
    </xf>
    <xf numFmtId="0" fontId="2" fillId="4" borderId="2" xfId="5" applyFont="1" applyFill="1" applyBorder="1" applyAlignment="1">
      <alignment horizontal="center" vertical="center"/>
    </xf>
    <xf numFmtId="0" fontId="2" fillId="4" borderId="2" xfId="5" applyFont="1" applyFill="1" applyBorder="1" applyAlignment="1">
      <alignment vertical="center" wrapText="1"/>
    </xf>
    <xf numFmtId="0" fontId="3" fillId="4" borderId="2" xfId="3" applyFont="1" applyFill="1" applyBorder="1" applyAlignment="1">
      <alignment horizontal="center" vertical="center" wrapText="1"/>
    </xf>
    <xf numFmtId="0" fontId="2" fillId="4" borderId="2" xfId="3" applyFont="1" applyFill="1" applyBorder="1" applyAlignment="1">
      <alignment horizontal="center" vertical="center"/>
    </xf>
    <xf numFmtId="49" fontId="2" fillId="4" borderId="2" xfId="3" applyNumberFormat="1" applyFont="1" applyFill="1" applyBorder="1" applyAlignment="1">
      <alignment horizontal="center" vertical="center"/>
    </xf>
    <xf numFmtId="0" fontId="2" fillId="4" borderId="2" xfId="5" applyFont="1" applyFill="1" applyBorder="1" applyAlignment="1">
      <alignment horizontal="left" vertical="center" wrapText="1"/>
    </xf>
    <xf numFmtId="0" fontId="5" fillId="4" borderId="0" xfId="2" applyFont="1" applyFill="1" applyAlignment="1">
      <alignment vertical="center"/>
    </xf>
    <xf numFmtId="0" fontId="2" fillId="0" borderId="2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4" borderId="2" xfId="3" applyFont="1" applyFill="1" applyBorder="1" applyAlignment="1">
      <alignment horizontal="left" vertical="center" wrapText="1"/>
    </xf>
    <xf numFmtId="0" fontId="3" fillId="4" borderId="2" xfId="3" applyFont="1" applyFill="1" applyBorder="1" applyAlignment="1">
      <alignment horizontal="center" vertical="center"/>
    </xf>
    <xf numFmtId="49" fontId="3" fillId="4" borderId="2" xfId="3" applyNumberFormat="1" applyFont="1" applyFill="1" applyBorder="1" applyAlignment="1">
      <alignment horizontal="center" vertical="center"/>
    </xf>
    <xf numFmtId="0" fontId="4" fillId="4" borderId="2" xfId="4" applyFont="1" applyFill="1" applyBorder="1" applyAlignment="1">
      <alignment vertical="center"/>
    </xf>
    <xf numFmtId="0" fontId="3" fillId="4" borderId="2" xfId="5" applyFont="1" applyFill="1" applyBorder="1" applyAlignment="1">
      <alignment vertical="center" wrapText="1"/>
    </xf>
    <xf numFmtId="0" fontId="2" fillId="4" borderId="2" xfId="2" applyFill="1" applyBorder="1" applyAlignment="1">
      <alignment horizontal="center" vertical="center"/>
    </xf>
    <xf numFmtId="0" fontId="2" fillId="4" borderId="2" xfId="3" applyFont="1" applyFill="1" applyBorder="1" applyAlignment="1">
      <alignment vertical="center" wrapText="1"/>
    </xf>
    <xf numFmtId="0" fontId="2" fillId="4" borderId="2" xfId="5" applyFont="1" applyFill="1" applyBorder="1" applyAlignment="1">
      <alignment horizontal="center" vertical="center" wrapText="1"/>
    </xf>
    <xf numFmtId="0" fontId="2" fillId="4" borderId="0" xfId="2" applyFill="1" applyAlignment="1">
      <alignment vertical="center" wrapText="1"/>
    </xf>
    <xf numFmtId="0" fontId="2" fillId="0" borderId="0" xfId="2" quotePrefix="1" applyAlignment="1">
      <alignment vertical="center"/>
    </xf>
    <xf numFmtId="49" fontId="2" fillId="0" borderId="0" xfId="2" applyNumberFormat="1" applyAlignment="1">
      <alignment vertical="center"/>
    </xf>
    <xf numFmtId="0" fontId="2" fillId="0" borderId="0" xfId="2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0" fillId="0" borderId="11" xfId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44" fontId="0" fillId="0" borderId="14" xfId="1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" fontId="0" fillId="0" borderId="11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44" fontId="0" fillId="0" borderId="17" xfId="1" applyFont="1" applyBorder="1" applyAlignment="1">
      <alignment vertical="center"/>
    </xf>
    <xf numFmtId="0" fontId="0" fillId="0" borderId="19" xfId="0" applyBorder="1"/>
    <xf numFmtId="1" fontId="0" fillId="0" borderId="19" xfId="0" applyNumberFormat="1" applyBorder="1" applyAlignment="1">
      <alignment horizontal="center"/>
    </xf>
    <xf numFmtId="44" fontId="0" fillId="0" borderId="19" xfId="1" applyFont="1" applyBorder="1"/>
    <xf numFmtId="0" fontId="0" fillId="0" borderId="19" xfId="0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" xfId="0" applyBorder="1"/>
    <xf numFmtId="0" fontId="8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0" fillId="2" borderId="0" xfId="0" applyFill="1"/>
    <xf numFmtId="0" fontId="0" fillId="6" borderId="15" xfId="0" applyFill="1" applyBorder="1" applyAlignment="1">
      <alignment horizontal="left" vertical="center"/>
    </xf>
    <xf numFmtId="0" fontId="0" fillId="6" borderId="21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4" borderId="15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2" fillId="0" borderId="2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2" fillId="0" borderId="1" xfId="2" applyBorder="1" applyAlignment="1">
      <alignment horizontal="right" vertical="center"/>
    </xf>
    <xf numFmtId="0" fontId="3" fillId="3" borderId="2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</cellXfs>
  <cellStyles count="6">
    <cellStyle name="Moneda" xfId="1" builtinId="4"/>
    <cellStyle name="Normal" xfId="0" builtinId="0"/>
    <cellStyle name="Normal 2" xfId="4" xr:uid="{7F8334AF-2B56-4127-845E-44B0A714F0B4}"/>
    <cellStyle name="Normal 2 2" xfId="5" xr:uid="{FA965F27-8535-4ECE-B88F-54BCE1CA6F39}"/>
    <cellStyle name="Normal 3" xfId="2" xr:uid="{AD6D5D40-0058-424D-AC16-502CDB81E1E3}"/>
    <cellStyle name="Normal 3 2 2" xfId="3" xr:uid="{BF096AF4-5A20-4F2E-8700-A72C7CF1E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18C5-516D-46C2-89C3-33852D65E1CE}">
  <sheetPr>
    <pageSetUpPr fitToPage="1"/>
  </sheetPr>
  <dimension ref="B1:G41"/>
  <sheetViews>
    <sheetView tabSelected="1" workbookViewId="0">
      <selection activeCell="G6" sqref="G6"/>
    </sheetView>
  </sheetViews>
  <sheetFormatPr baseColWidth="10" defaultRowHeight="14.5" x14ac:dyDescent="0.35"/>
  <cols>
    <col min="3" max="3" width="29" customWidth="1"/>
    <col min="5" max="5" width="13.1796875" customWidth="1"/>
    <col min="6" max="6" width="10.1796875" customWidth="1"/>
    <col min="7" max="7" width="45.1796875" customWidth="1"/>
  </cols>
  <sheetData>
    <row r="1" spans="2:7" x14ac:dyDescent="0.35">
      <c r="B1" s="35" t="s">
        <v>204</v>
      </c>
      <c r="C1" s="35"/>
      <c r="D1" s="35"/>
      <c r="E1" s="35"/>
      <c r="F1" s="35"/>
    </row>
    <row r="2" spans="2:7" x14ac:dyDescent="0.35">
      <c r="B2" s="66" t="s">
        <v>205</v>
      </c>
      <c r="C2" s="66"/>
      <c r="D2" s="66"/>
      <c r="E2" s="66"/>
      <c r="F2" s="66"/>
    </row>
    <row r="4" spans="2:7" ht="23.5" x14ac:dyDescent="0.55000000000000004">
      <c r="B4" s="76" t="s">
        <v>206</v>
      </c>
      <c r="C4" s="76"/>
      <c r="D4" s="76"/>
      <c r="E4" s="76"/>
      <c r="F4" s="76"/>
      <c r="G4" s="76"/>
    </row>
    <row r="5" spans="2:7" x14ac:dyDescent="0.35">
      <c r="B5" s="65"/>
      <c r="C5" s="65"/>
      <c r="D5" s="65"/>
      <c r="E5" s="65"/>
      <c r="F5" s="65"/>
      <c r="G5" s="65"/>
    </row>
    <row r="6" spans="2:7" s="42" customFormat="1" ht="19" customHeight="1" x14ac:dyDescent="0.35">
      <c r="B6" s="62" t="s">
        <v>12</v>
      </c>
      <c r="C6" s="43"/>
      <c r="D6" s="67" t="s">
        <v>173</v>
      </c>
      <c r="E6" s="68"/>
      <c r="F6" s="69"/>
      <c r="G6" s="62"/>
    </row>
    <row r="7" spans="2:7" s="42" customFormat="1" ht="19" customHeight="1" x14ac:dyDescent="0.35">
      <c r="B7" s="62" t="s">
        <v>0</v>
      </c>
      <c r="C7" s="43"/>
      <c r="D7" s="73">
        <f>VLOOKUP(D6,'Estructura cecos Jul2024'!B5:E50,4,0)</f>
        <v>470401</v>
      </c>
      <c r="E7" s="74"/>
      <c r="F7" s="75"/>
      <c r="G7" s="62"/>
    </row>
    <row r="8" spans="2:7" s="42" customFormat="1" ht="19" customHeight="1" x14ac:dyDescent="0.35">
      <c r="B8" s="62" t="s">
        <v>1</v>
      </c>
      <c r="C8" s="43"/>
      <c r="D8" s="70"/>
      <c r="E8" s="71"/>
      <c r="F8" s="72"/>
      <c r="G8" s="62"/>
    </row>
    <row r="9" spans="2:7" ht="15" thickBot="1" x14ac:dyDescent="0.4"/>
    <row r="10" spans="2:7" ht="29.5" thickBot="1" x14ac:dyDescent="0.4">
      <c r="B10" s="36" t="s">
        <v>2</v>
      </c>
      <c r="C10" s="37" t="s">
        <v>3</v>
      </c>
      <c r="D10" s="37" t="s">
        <v>4</v>
      </c>
      <c r="E10" s="37" t="s">
        <v>5</v>
      </c>
      <c r="F10" s="37" t="s">
        <v>8</v>
      </c>
      <c r="G10" s="38" t="s">
        <v>7</v>
      </c>
    </row>
    <row r="11" spans="2:7" s="42" customFormat="1" ht="18" customHeight="1" x14ac:dyDescent="0.35">
      <c r="B11" s="39"/>
      <c r="C11" s="40"/>
      <c r="D11" s="48"/>
      <c r="E11" s="41"/>
      <c r="F11" s="56" t="s">
        <v>10</v>
      </c>
      <c r="G11" s="59" t="str">
        <f>IF(F11="Si",VLOOKUP($D$7,'Estructura cecos Jul2024'!$E$5:$R$50,14,0),'Estructura cecos Jul2024'!$I$2)</f>
        <v>ACU-041-999999-11991002-999-ZZ-000-0000-000</v>
      </c>
    </row>
    <row r="12" spans="2:7" s="42" customFormat="1" ht="18" customHeight="1" x14ac:dyDescent="0.35">
      <c r="B12" s="43"/>
      <c r="C12" s="44"/>
      <c r="D12" s="49"/>
      <c r="E12" s="45"/>
      <c r="F12" s="57" t="s">
        <v>11</v>
      </c>
      <c r="G12" s="60" t="str">
        <f>IF(F12="Si",VLOOKUP($D$7,'Estructura cecos Jul2024'!$E$5:$R$50,14,0),'Estructura cecos Jul2024'!$I$2)</f>
        <v>ACU-041-999999-11991002-999-ZZ-000-0000-000</v>
      </c>
    </row>
    <row r="13" spans="2:7" s="42" customFormat="1" ht="18" customHeight="1" x14ac:dyDescent="0.35">
      <c r="B13" s="43"/>
      <c r="C13" s="44"/>
      <c r="D13" s="49"/>
      <c r="E13" s="45"/>
      <c r="F13" s="57" t="s">
        <v>11</v>
      </c>
      <c r="G13" s="60" t="str">
        <f>IF(F13="Si",VLOOKUP($D$7,'Estructura cecos Jul2024'!$E$5:$R$50,14,0),'Estructura cecos Jul2024'!$I$2)</f>
        <v>ACU-041-999999-11991002-999-ZZ-000-0000-000</v>
      </c>
    </row>
    <row r="14" spans="2:7" s="42" customFormat="1" ht="18" customHeight="1" x14ac:dyDescent="0.35">
      <c r="B14" s="43"/>
      <c r="C14" s="44"/>
      <c r="D14" s="49"/>
      <c r="E14" s="45"/>
      <c r="F14" s="57" t="s">
        <v>11</v>
      </c>
      <c r="G14" s="60" t="str">
        <f>IF(F14="Si",VLOOKUP($D$7,'Estructura cecos Jul2024'!$E$5:$R$50,14,0),'Estructura cecos Jul2024'!$I$2)</f>
        <v>ACU-041-999999-11991002-999-ZZ-000-0000-000</v>
      </c>
    </row>
    <row r="15" spans="2:7" s="42" customFormat="1" ht="18" customHeight="1" x14ac:dyDescent="0.35">
      <c r="B15" s="43"/>
      <c r="C15" s="44"/>
      <c r="D15" s="49"/>
      <c r="E15" s="45"/>
      <c r="F15" s="57" t="s">
        <v>11</v>
      </c>
      <c r="G15" s="60" t="str">
        <f>IF(F15="Si",VLOOKUP($D$7,'Estructura cecos Jul2024'!$E$5:$R$50,14,0),'Estructura cecos Jul2024'!$I$2)</f>
        <v>ACU-041-999999-11991002-999-ZZ-000-0000-000</v>
      </c>
    </row>
    <row r="16" spans="2:7" s="42" customFormat="1" ht="18" customHeight="1" x14ac:dyDescent="0.35">
      <c r="B16" s="43"/>
      <c r="C16" s="44"/>
      <c r="D16" s="49"/>
      <c r="E16" s="45"/>
      <c r="F16" s="57" t="s">
        <v>11</v>
      </c>
      <c r="G16" s="60" t="str">
        <f>IF(F16="Si",VLOOKUP($D$7,'Estructura cecos Jul2024'!$E$5:$R$50,14,0),'Estructura cecos Jul2024'!$I$2)</f>
        <v>ACU-041-999999-11991002-999-ZZ-000-0000-000</v>
      </c>
    </row>
    <row r="17" spans="2:7" s="42" customFormat="1" ht="18" customHeight="1" x14ac:dyDescent="0.35">
      <c r="B17" s="43"/>
      <c r="C17" s="44"/>
      <c r="D17" s="49"/>
      <c r="E17" s="45"/>
      <c r="F17" s="57" t="s">
        <v>11</v>
      </c>
      <c r="G17" s="60" t="str">
        <f>IF(F17="Si",VLOOKUP($D$7,'Estructura cecos Jul2024'!$E$5:$R$50,14,0),'Estructura cecos Jul2024'!$I$2)</f>
        <v>ACU-041-999999-11991002-999-ZZ-000-0000-000</v>
      </c>
    </row>
    <row r="18" spans="2:7" s="42" customFormat="1" ht="18" customHeight="1" x14ac:dyDescent="0.35">
      <c r="B18" s="43"/>
      <c r="C18" s="44"/>
      <c r="D18" s="49"/>
      <c r="E18" s="45"/>
      <c r="F18" s="57" t="s">
        <v>11</v>
      </c>
      <c r="G18" s="60" t="str">
        <f>IF(F18="Si",VLOOKUP($D$7,'Estructura cecos Jul2024'!$E$5:$R$50,14,0),'Estructura cecos Jul2024'!$I$2)</f>
        <v>ACU-041-999999-11991002-999-ZZ-000-0000-000</v>
      </c>
    </row>
    <row r="19" spans="2:7" s="42" customFormat="1" ht="18" customHeight="1" x14ac:dyDescent="0.35">
      <c r="B19" s="43"/>
      <c r="C19" s="44"/>
      <c r="D19" s="49"/>
      <c r="E19" s="45"/>
      <c r="F19" s="57" t="s">
        <v>11</v>
      </c>
      <c r="G19" s="60" t="str">
        <f>IF(F19="Si",VLOOKUP($D$7,'Estructura cecos Jul2024'!$E$5:$R$50,14,0),'Estructura cecos Jul2024'!$I$2)</f>
        <v>ACU-041-999999-11991002-999-ZZ-000-0000-000</v>
      </c>
    </row>
    <row r="20" spans="2:7" s="42" customFormat="1" ht="18" customHeight="1" x14ac:dyDescent="0.35">
      <c r="B20" s="43"/>
      <c r="C20" s="44"/>
      <c r="D20" s="49"/>
      <c r="E20" s="45"/>
      <c r="F20" s="57" t="s">
        <v>11</v>
      </c>
      <c r="G20" s="60" t="str">
        <f>IF(F20="Si",VLOOKUP($D$7,'Estructura cecos Jul2024'!$E$5:$R$50,14,0),'Estructura cecos Jul2024'!$I$2)</f>
        <v>ACU-041-999999-11991002-999-ZZ-000-0000-000</v>
      </c>
    </row>
    <row r="21" spans="2:7" s="42" customFormat="1" ht="18" customHeight="1" x14ac:dyDescent="0.35">
      <c r="B21" s="43"/>
      <c r="C21" s="44"/>
      <c r="D21" s="49"/>
      <c r="E21" s="45"/>
      <c r="F21" s="57" t="s">
        <v>11</v>
      </c>
      <c r="G21" s="60" t="str">
        <f>IF(F21="Si",VLOOKUP($D$7,'Estructura cecos Jul2024'!$E$5:$R$50,14,0),'Estructura cecos Jul2024'!$I$2)</f>
        <v>ACU-041-999999-11991002-999-ZZ-000-0000-000</v>
      </c>
    </row>
    <row r="22" spans="2:7" s="42" customFormat="1" ht="18" customHeight="1" x14ac:dyDescent="0.35">
      <c r="B22" s="43"/>
      <c r="C22" s="44"/>
      <c r="D22" s="49"/>
      <c r="E22" s="45"/>
      <c r="F22" s="57" t="s">
        <v>11</v>
      </c>
      <c r="G22" s="60" t="str">
        <f>IF(F22="Si",VLOOKUP($D$7,'Estructura cecos Jul2024'!$E$5:$R$50,14,0),'Estructura cecos Jul2024'!$I$2)</f>
        <v>ACU-041-999999-11991002-999-ZZ-000-0000-000</v>
      </c>
    </row>
    <row r="23" spans="2:7" s="42" customFormat="1" ht="18" customHeight="1" x14ac:dyDescent="0.35">
      <c r="B23" s="43"/>
      <c r="C23" s="44"/>
      <c r="D23" s="49"/>
      <c r="E23" s="45"/>
      <c r="F23" s="57" t="s">
        <v>11</v>
      </c>
      <c r="G23" s="60" t="str">
        <f>IF(F23="Si",VLOOKUP($D$7,'Estructura cecos Jul2024'!$E$5:$R$50,14,0),'Estructura cecos Jul2024'!$I$2)</f>
        <v>ACU-041-999999-11991002-999-ZZ-000-0000-000</v>
      </c>
    </row>
    <row r="24" spans="2:7" s="42" customFormat="1" ht="18" customHeight="1" x14ac:dyDescent="0.35">
      <c r="B24" s="43"/>
      <c r="C24" s="44"/>
      <c r="D24" s="49"/>
      <c r="E24" s="45"/>
      <c r="F24" s="57" t="s">
        <v>11</v>
      </c>
      <c r="G24" s="60" t="str">
        <f>IF(F24="Si",VLOOKUP($D$7,'Estructura cecos Jul2024'!$E$5:$R$50,14,0),'Estructura cecos Jul2024'!$I$2)</f>
        <v>ACU-041-999999-11991002-999-ZZ-000-0000-000</v>
      </c>
    </row>
    <row r="25" spans="2:7" s="42" customFormat="1" ht="18" customHeight="1" x14ac:dyDescent="0.35">
      <c r="B25" s="43"/>
      <c r="C25" s="44"/>
      <c r="D25" s="49"/>
      <c r="E25" s="45"/>
      <c r="F25" s="57" t="s">
        <v>11</v>
      </c>
      <c r="G25" s="60" t="str">
        <f>IF(F25="Si",VLOOKUP($D$7,'Estructura cecos Jul2024'!$E$5:$R$50,14,0),'Estructura cecos Jul2024'!$I$2)</f>
        <v>ACU-041-999999-11991002-999-ZZ-000-0000-000</v>
      </c>
    </row>
    <row r="26" spans="2:7" s="42" customFormat="1" ht="18" customHeight="1" x14ac:dyDescent="0.35">
      <c r="B26" s="43"/>
      <c r="C26" s="44"/>
      <c r="D26" s="49"/>
      <c r="E26" s="45"/>
      <c r="F26" s="57" t="s">
        <v>11</v>
      </c>
      <c r="G26" s="60" t="str">
        <f>IF(F26="Si",VLOOKUP($D$7,'Estructura cecos Jul2024'!$E$5:$R$50,14,0),'Estructura cecos Jul2024'!$I$2)</f>
        <v>ACU-041-999999-11991002-999-ZZ-000-0000-000</v>
      </c>
    </row>
    <row r="27" spans="2:7" s="42" customFormat="1" ht="18" customHeight="1" x14ac:dyDescent="0.35">
      <c r="B27" s="43"/>
      <c r="C27" s="44"/>
      <c r="D27" s="49"/>
      <c r="E27" s="45"/>
      <c r="F27" s="57" t="s">
        <v>11</v>
      </c>
      <c r="G27" s="60" t="str">
        <f>IF(F27="Si",VLOOKUP($D$7,'Estructura cecos Jul2024'!$E$5:$R$50,14,0),'Estructura cecos Jul2024'!$I$2)</f>
        <v>ACU-041-999999-11991002-999-ZZ-000-0000-000</v>
      </c>
    </row>
    <row r="28" spans="2:7" s="42" customFormat="1" ht="18" customHeight="1" x14ac:dyDescent="0.35">
      <c r="B28" s="43"/>
      <c r="C28" s="44"/>
      <c r="D28" s="49"/>
      <c r="E28" s="45"/>
      <c r="F28" s="57" t="s">
        <v>11</v>
      </c>
      <c r="G28" s="60" t="str">
        <f>IF(F28="Si",VLOOKUP($D$7,'Estructura cecos Jul2024'!$E$5:$R$50,14,0),'Estructura cecos Jul2024'!$I$2)</f>
        <v>ACU-041-999999-11991002-999-ZZ-000-0000-000</v>
      </c>
    </row>
    <row r="29" spans="2:7" s="42" customFormat="1" ht="18" customHeight="1" x14ac:dyDescent="0.35">
      <c r="B29" s="43"/>
      <c r="C29" s="44"/>
      <c r="D29" s="49"/>
      <c r="E29" s="45"/>
      <c r="F29" s="57" t="s">
        <v>11</v>
      </c>
      <c r="G29" s="60" t="str">
        <f>IF(F29="Si",VLOOKUP($D$7,'Estructura cecos Jul2024'!$E$5:$R$50,14,0),'Estructura cecos Jul2024'!$I$2)</f>
        <v>ACU-041-999999-11991002-999-ZZ-000-0000-000</v>
      </c>
    </row>
    <row r="30" spans="2:7" s="42" customFormat="1" ht="18" customHeight="1" x14ac:dyDescent="0.35">
      <c r="B30" s="43"/>
      <c r="C30" s="44"/>
      <c r="D30" s="49">
        <v>1</v>
      </c>
      <c r="E30" s="45"/>
      <c r="F30" s="57" t="s">
        <v>11</v>
      </c>
      <c r="G30" s="60" t="str">
        <f>IF(F30="Si",VLOOKUP($D$7,'Estructura cecos Jul2024'!$E$5:$R$50,14,0),'Estructura cecos Jul2024'!$I$2)</f>
        <v>ACU-041-999999-11991002-999-ZZ-000-0000-000</v>
      </c>
    </row>
    <row r="31" spans="2:7" s="42" customFormat="1" ht="18" customHeight="1" x14ac:dyDescent="0.35">
      <c r="B31" s="43"/>
      <c r="C31" s="44"/>
      <c r="D31" s="49"/>
      <c r="E31" s="45"/>
      <c r="F31" s="57" t="s">
        <v>11</v>
      </c>
      <c r="G31" s="60" t="str">
        <f>IF(F31="Si",VLOOKUP($D$7,'Estructura cecos Jul2024'!$E$5:$R$50,14,0),'Estructura cecos Jul2024'!$I$2)</f>
        <v>ACU-041-999999-11991002-999-ZZ-000-0000-000</v>
      </c>
    </row>
    <row r="32" spans="2:7" s="42" customFormat="1" ht="18" customHeight="1" x14ac:dyDescent="0.35">
      <c r="B32" s="43"/>
      <c r="C32" s="44"/>
      <c r="D32" s="49"/>
      <c r="E32" s="45"/>
      <c r="F32" s="57" t="s">
        <v>11</v>
      </c>
      <c r="G32" s="60" t="str">
        <f>IF(F32="Si",VLOOKUP($D$7,'Estructura cecos Jul2024'!$E$5:$R$50,14,0),'Estructura cecos Jul2024'!$I$2)</f>
        <v>ACU-041-999999-11991002-999-ZZ-000-0000-000</v>
      </c>
    </row>
    <row r="33" spans="2:7" s="42" customFormat="1" ht="18" customHeight="1" x14ac:dyDescent="0.35">
      <c r="B33" s="43"/>
      <c r="C33" s="44"/>
      <c r="D33" s="49"/>
      <c r="E33" s="45"/>
      <c r="F33" s="57" t="s">
        <v>11</v>
      </c>
      <c r="G33" s="60" t="str">
        <f>IF(F33="Si",VLOOKUP($D$7,'Estructura cecos Jul2024'!$E$5:$R$50,14,0),'Estructura cecos Jul2024'!$I$2)</f>
        <v>ACU-041-999999-11991002-999-ZZ-000-0000-000</v>
      </c>
    </row>
    <row r="34" spans="2:7" s="42" customFormat="1" ht="18" customHeight="1" x14ac:dyDescent="0.35">
      <c r="B34" s="43"/>
      <c r="C34" s="44"/>
      <c r="D34" s="49"/>
      <c r="E34" s="45"/>
      <c r="F34" s="57" t="s">
        <v>11</v>
      </c>
      <c r="G34" s="60" t="str">
        <f>IF(F34="Si",VLOOKUP($D$7,'Estructura cecos Jul2024'!$E$5:$R$50,14,0),'Estructura cecos Jul2024'!$I$2)</f>
        <v>ACU-041-999999-11991002-999-ZZ-000-0000-000</v>
      </c>
    </row>
    <row r="35" spans="2:7" s="42" customFormat="1" ht="18" customHeight="1" thickBot="1" x14ac:dyDescent="0.4">
      <c r="B35" s="46"/>
      <c r="C35" s="47"/>
      <c r="D35" s="50"/>
      <c r="E35" s="51"/>
      <c r="F35" s="58" t="s">
        <v>11</v>
      </c>
      <c r="G35" s="61" t="str">
        <f>IF(F35="Si",VLOOKUP($D$7,'Estructura cecos Jul2024'!$E$5:$R$50,14,0),'Estructura cecos Jul2024'!$I$2)</f>
        <v>ACU-041-999999-11991002-999-ZZ-000-0000-000</v>
      </c>
    </row>
    <row r="36" spans="2:7" ht="20.5" customHeight="1" thickBot="1" x14ac:dyDescent="0.4">
      <c r="B36" s="52"/>
      <c r="C36" s="55" t="s">
        <v>203</v>
      </c>
      <c r="D36" s="53">
        <f>SUM(D11:D35)</f>
        <v>1</v>
      </c>
      <c r="E36" s="54">
        <f>SUM(E11:E35)</f>
        <v>0</v>
      </c>
      <c r="F36" s="52"/>
      <c r="G36" s="52"/>
    </row>
    <row r="37" spans="2:7" ht="15" thickTop="1" x14ac:dyDescent="0.35"/>
    <row r="39" spans="2:7" x14ac:dyDescent="0.35">
      <c r="B39" t="s">
        <v>207</v>
      </c>
      <c r="C39" s="63"/>
    </row>
    <row r="40" spans="2:7" x14ac:dyDescent="0.35">
      <c r="C40" s="64" t="s">
        <v>208</v>
      </c>
    </row>
    <row r="41" spans="2:7" x14ac:dyDescent="0.35">
      <c r="B41" t="s">
        <v>209</v>
      </c>
    </row>
  </sheetData>
  <mergeCells count="4">
    <mergeCell ref="D6:F6"/>
    <mergeCell ref="D8:F8"/>
    <mergeCell ref="D7:F7"/>
    <mergeCell ref="B4:G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E36BB1-0B23-4414-82FD-B2EEBB273244}">
          <x14:formula1>
            <xm:f>Opciones!$B$4:$B$6</xm:f>
          </x14:formula1>
          <xm:sqref>F11:F35</xm:sqref>
        </x14:dataValidation>
        <x14:dataValidation type="list" allowBlank="1" showInputMessage="1" showErrorMessage="1" xr:uid="{6CFA73B9-D312-4B42-8CFD-6855D0ECDC3F}">
          <x14:formula1>
            <xm:f>'Estructura cecos Jul2024'!$B$5:$B$50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A7BF-327F-45BA-8EE1-61357CA8B25D}">
  <dimension ref="B3:B6"/>
  <sheetViews>
    <sheetView workbookViewId="0">
      <selection activeCell="D16" sqref="D16"/>
    </sheetView>
  </sheetViews>
  <sheetFormatPr baseColWidth="10" defaultRowHeight="14.5" x14ac:dyDescent="0.35"/>
  <sheetData>
    <row r="3" spans="2:2" x14ac:dyDescent="0.35">
      <c r="B3" t="s">
        <v>6</v>
      </c>
    </row>
    <row r="4" spans="2:2" x14ac:dyDescent="0.35">
      <c r="B4" t="s">
        <v>11</v>
      </c>
    </row>
    <row r="5" spans="2:2" x14ac:dyDescent="0.35">
      <c r="B5" t="s">
        <v>9</v>
      </c>
    </row>
    <row r="6" spans="2:2" x14ac:dyDescent="0.35">
      <c r="B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106A-4AEC-425D-8EE6-58D1E9C61271}">
  <sheetPr>
    <pageSetUpPr fitToPage="1"/>
  </sheetPr>
  <dimension ref="B1:R52"/>
  <sheetViews>
    <sheetView showGridLines="0" topLeftCell="B2" zoomScale="130" zoomScaleNormal="130" workbookViewId="0">
      <pane xSplit="2" ySplit="2" topLeftCell="G23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baseColWidth="10" defaultColWidth="9.26953125" defaultRowHeight="12.5" x14ac:dyDescent="0.35"/>
  <cols>
    <col min="1" max="1" width="9.26953125" style="1"/>
    <col min="2" max="2" width="34" style="9" customWidth="1"/>
    <col min="3" max="3" width="15.453125" style="9" customWidth="1"/>
    <col min="4" max="5" width="9.26953125" style="1"/>
    <col min="6" max="6" width="4.54296875" style="1" customWidth="1"/>
    <col min="7" max="7" width="9.26953125" style="1" customWidth="1"/>
    <col min="8" max="8" width="14.81640625" style="1" customWidth="1"/>
    <col min="9" max="9" width="9.26953125" style="1" customWidth="1"/>
    <col min="10" max="12" width="10.6328125" style="1" customWidth="1"/>
    <col min="13" max="13" width="10.6328125" style="33" customWidth="1"/>
    <col min="14" max="16384" width="9.26953125" style="1"/>
  </cols>
  <sheetData>
    <row r="1" spans="2:18" x14ac:dyDescent="0.35">
      <c r="B1" s="81" t="s">
        <v>13</v>
      </c>
      <c r="C1" s="81"/>
      <c r="D1" s="81"/>
      <c r="E1" s="81"/>
      <c r="F1" s="81"/>
      <c r="G1" s="81"/>
      <c r="H1" s="81"/>
    </row>
    <row r="2" spans="2:18" ht="14.5" x14ac:dyDescent="0.35">
      <c r="B2" s="82" t="s">
        <v>14</v>
      </c>
      <c r="C2" s="82"/>
      <c r="D2" s="82"/>
      <c r="E2" s="82"/>
      <c r="F2" s="82"/>
      <c r="G2" s="82"/>
      <c r="H2" s="82"/>
      <c r="I2" s="34" t="s">
        <v>202</v>
      </c>
    </row>
    <row r="3" spans="2:18" x14ac:dyDescent="0.35">
      <c r="B3" s="3" t="s">
        <v>15</v>
      </c>
      <c r="C3" s="3" t="s">
        <v>16</v>
      </c>
      <c r="D3" s="2" t="s">
        <v>17</v>
      </c>
      <c r="E3" s="4" t="s">
        <v>18</v>
      </c>
      <c r="F3" s="5"/>
      <c r="G3" s="2" t="s">
        <v>18</v>
      </c>
      <c r="H3" s="2"/>
      <c r="I3" s="1" t="s">
        <v>193</v>
      </c>
      <c r="J3" s="1" t="s">
        <v>194</v>
      </c>
      <c r="K3" s="1" t="s">
        <v>195</v>
      </c>
      <c r="L3" s="1" t="s">
        <v>196</v>
      </c>
      <c r="M3" s="33" t="s">
        <v>197</v>
      </c>
      <c r="N3" s="1" t="s">
        <v>198</v>
      </c>
      <c r="O3" s="1" t="s">
        <v>199</v>
      </c>
      <c r="P3" s="1" t="s">
        <v>200</v>
      </c>
      <c r="Q3" s="1" t="s">
        <v>201</v>
      </c>
    </row>
    <row r="4" spans="2:18" x14ac:dyDescent="0.35">
      <c r="E4" s="33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</row>
    <row r="5" spans="2:18" x14ac:dyDescent="0.35">
      <c r="B5" s="22" t="s">
        <v>19</v>
      </c>
      <c r="C5" s="15" t="s">
        <v>20</v>
      </c>
      <c r="D5" s="23" t="s">
        <v>21</v>
      </c>
      <c r="E5" s="24">
        <v>493001</v>
      </c>
      <c r="F5" s="7"/>
      <c r="G5" s="8">
        <v>999</v>
      </c>
      <c r="H5" s="83" t="s">
        <v>22</v>
      </c>
      <c r="I5" s="1" t="s">
        <v>183</v>
      </c>
      <c r="J5" s="31" t="s">
        <v>184</v>
      </c>
      <c r="K5" s="32">
        <f>E5</f>
        <v>493001</v>
      </c>
      <c r="L5" s="31" t="s">
        <v>185</v>
      </c>
      <c r="M5" s="33">
        <f>G5</f>
        <v>999</v>
      </c>
      <c r="N5" s="1" t="s">
        <v>186</v>
      </c>
      <c r="O5" s="31" t="s">
        <v>187</v>
      </c>
      <c r="P5" s="31" t="s">
        <v>188</v>
      </c>
      <c r="Q5" s="31" t="s">
        <v>187</v>
      </c>
      <c r="R5" s="1" t="str">
        <f>CONCATENATE(I5,"-",J5,"-",K5,"-",L5,"-",M5,"-",N5,"-",O5,"-",P5,"-",Q5)</f>
        <v>ACU-041-493001-63101503-999-ZZ-000-0000-000</v>
      </c>
    </row>
    <row r="6" spans="2:18" x14ac:dyDescent="0.35">
      <c r="B6" s="22" t="s">
        <v>23</v>
      </c>
      <c r="C6" s="15" t="s">
        <v>24</v>
      </c>
      <c r="D6" s="23" t="s">
        <v>25</v>
      </c>
      <c r="E6" s="24">
        <v>492201</v>
      </c>
      <c r="F6" s="7"/>
      <c r="G6" s="8">
        <v>999</v>
      </c>
      <c r="H6" s="84"/>
      <c r="I6" s="1" t="s">
        <v>183</v>
      </c>
      <c r="J6" s="31" t="s">
        <v>184</v>
      </c>
      <c r="K6" s="32">
        <f t="shared" ref="K6:K17" si="0">E6</f>
        <v>492201</v>
      </c>
      <c r="L6" s="31" t="s">
        <v>185</v>
      </c>
      <c r="M6" s="33">
        <f t="shared" ref="M6:M17" si="1">G6</f>
        <v>999</v>
      </c>
      <c r="N6" s="1" t="s">
        <v>186</v>
      </c>
      <c r="O6" s="31" t="s">
        <v>187</v>
      </c>
      <c r="P6" s="31" t="s">
        <v>188</v>
      </c>
      <c r="Q6" s="31" t="s">
        <v>187</v>
      </c>
      <c r="R6" s="1" t="str">
        <f t="shared" ref="R6:R50" si="2">CONCATENATE(I6,"-",J6,"-",K6,"-",L6,"-",M6,"-",N6,"-",O6,"-",P6,"-",Q6)</f>
        <v>ACU-041-492201-63101503-999-ZZ-000-0000-000</v>
      </c>
    </row>
    <row r="7" spans="2:18" x14ac:dyDescent="0.35">
      <c r="B7" s="22" t="s">
        <v>26</v>
      </c>
      <c r="C7" s="15" t="s">
        <v>27</v>
      </c>
      <c r="D7" s="23" t="s">
        <v>28</v>
      </c>
      <c r="E7" s="24">
        <v>492101</v>
      </c>
      <c r="F7" s="7"/>
      <c r="G7" s="8">
        <v>999</v>
      </c>
      <c r="H7" s="84"/>
      <c r="I7" s="1" t="s">
        <v>183</v>
      </c>
      <c r="J7" s="31" t="s">
        <v>184</v>
      </c>
      <c r="K7" s="32">
        <f t="shared" si="0"/>
        <v>492101</v>
      </c>
      <c r="L7" s="31" t="s">
        <v>185</v>
      </c>
      <c r="M7" s="33">
        <f t="shared" si="1"/>
        <v>999</v>
      </c>
      <c r="N7" s="1" t="s">
        <v>186</v>
      </c>
      <c r="O7" s="31" t="s">
        <v>187</v>
      </c>
      <c r="P7" s="31" t="s">
        <v>188</v>
      </c>
      <c r="Q7" s="31" t="s">
        <v>187</v>
      </c>
      <c r="R7" s="1" t="str">
        <f t="shared" si="2"/>
        <v>ACU-041-492101-63101503-999-ZZ-000-0000-000</v>
      </c>
    </row>
    <row r="8" spans="2:18" x14ac:dyDescent="0.35">
      <c r="B8" s="22" t="s">
        <v>29</v>
      </c>
      <c r="C8" s="15" t="s">
        <v>30</v>
      </c>
      <c r="D8" s="23" t="s">
        <v>31</v>
      </c>
      <c r="E8" s="24">
        <v>497001</v>
      </c>
      <c r="F8" s="7"/>
      <c r="G8" s="8">
        <v>999</v>
      </c>
      <c r="H8" s="84"/>
      <c r="I8" s="1" t="s">
        <v>183</v>
      </c>
      <c r="J8" s="31" t="s">
        <v>184</v>
      </c>
      <c r="K8" s="32">
        <f t="shared" si="0"/>
        <v>497001</v>
      </c>
      <c r="L8" s="31" t="s">
        <v>185</v>
      </c>
      <c r="M8" s="33">
        <f t="shared" si="1"/>
        <v>999</v>
      </c>
      <c r="N8" s="1" t="s">
        <v>186</v>
      </c>
      <c r="O8" s="31" t="s">
        <v>187</v>
      </c>
      <c r="P8" s="31" t="s">
        <v>188</v>
      </c>
      <c r="Q8" s="31" t="s">
        <v>187</v>
      </c>
      <c r="R8" s="1" t="str">
        <f t="shared" si="2"/>
        <v>ACU-041-497001-63101503-999-ZZ-000-0000-000</v>
      </c>
    </row>
    <row r="9" spans="2:18" x14ac:dyDescent="0.35">
      <c r="B9" s="22" t="s">
        <v>32</v>
      </c>
      <c r="C9" s="15" t="s">
        <v>33</v>
      </c>
      <c r="D9" s="23" t="s">
        <v>34</v>
      </c>
      <c r="E9" s="24">
        <v>496101</v>
      </c>
      <c r="F9" s="7"/>
      <c r="G9" s="8">
        <v>999</v>
      </c>
      <c r="H9" s="84"/>
      <c r="I9" s="1" t="s">
        <v>183</v>
      </c>
      <c r="J9" s="31" t="s">
        <v>184</v>
      </c>
      <c r="K9" s="32">
        <f t="shared" si="0"/>
        <v>496101</v>
      </c>
      <c r="L9" s="31" t="s">
        <v>185</v>
      </c>
      <c r="M9" s="33">
        <f t="shared" si="1"/>
        <v>999</v>
      </c>
      <c r="N9" s="1" t="s">
        <v>186</v>
      </c>
      <c r="O9" s="31" t="s">
        <v>187</v>
      </c>
      <c r="P9" s="31" t="s">
        <v>188</v>
      </c>
      <c r="Q9" s="31" t="s">
        <v>187</v>
      </c>
      <c r="R9" s="1" t="str">
        <f t="shared" si="2"/>
        <v>ACU-041-496101-63101503-999-ZZ-000-0000-000</v>
      </c>
    </row>
    <row r="10" spans="2:18" x14ac:dyDescent="0.35">
      <c r="B10" s="22" t="s">
        <v>35</v>
      </c>
      <c r="C10" s="15" t="s">
        <v>36</v>
      </c>
      <c r="D10" s="23" t="s">
        <v>37</v>
      </c>
      <c r="E10" s="24">
        <v>495003</v>
      </c>
      <c r="F10" s="7"/>
      <c r="G10" s="8">
        <v>999</v>
      </c>
      <c r="H10" s="84"/>
      <c r="I10" s="1" t="s">
        <v>183</v>
      </c>
      <c r="J10" s="31" t="s">
        <v>184</v>
      </c>
      <c r="K10" s="32">
        <f t="shared" si="0"/>
        <v>495003</v>
      </c>
      <c r="L10" s="31" t="s">
        <v>185</v>
      </c>
      <c r="M10" s="33">
        <f t="shared" si="1"/>
        <v>999</v>
      </c>
      <c r="N10" s="1" t="s">
        <v>186</v>
      </c>
      <c r="O10" s="31" t="s">
        <v>187</v>
      </c>
      <c r="P10" s="31" t="s">
        <v>188</v>
      </c>
      <c r="Q10" s="31" t="s">
        <v>187</v>
      </c>
      <c r="R10" s="1" t="str">
        <f t="shared" si="2"/>
        <v>ACU-041-495003-63101503-999-ZZ-000-0000-000</v>
      </c>
    </row>
    <row r="11" spans="2:18" ht="16" x14ac:dyDescent="0.35">
      <c r="B11" s="25" t="s">
        <v>38</v>
      </c>
      <c r="C11" s="15" t="s">
        <v>36</v>
      </c>
      <c r="D11" s="23" t="s">
        <v>39</v>
      </c>
      <c r="E11" s="24" t="s">
        <v>182</v>
      </c>
      <c r="F11" s="7"/>
      <c r="G11" s="8">
        <v>999</v>
      </c>
      <c r="H11" s="84"/>
      <c r="I11" s="1" t="s">
        <v>183</v>
      </c>
      <c r="J11" s="31" t="s">
        <v>184</v>
      </c>
      <c r="K11" s="32" t="str">
        <f t="shared" si="0"/>
        <v>495002</v>
      </c>
      <c r="L11" s="31" t="s">
        <v>185</v>
      </c>
      <c r="M11" s="33">
        <f t="shared" si="1"/>
        <v>999</v>
      </c>
      <c r="N11" s="1" t="s">
        <v>186</v>
      </c>
      <c r="O11" s="31" t="s">
        <v>187</v>
      </c>
      <c r="P11" s="31" t="s">
        <v>188</v>
      </c>
      <c r="Q11" s="31" t="s">
        <v>187</v>
      </c>
      <c r="R11" s="1" t="str">
        <f t="shared" si="2"/>
        <v>ACU-041-495002-63101503-999-ZZ-000-0000-000</v>
      </c>
    </row>
    <row r="12" spans="2:18" x14ac:dyDescent="0.35">
      <c r="B12" s="22" t="s">
        <v>40</v>
      </c>
      <c r="C12" s="15" t="s">
        <v>41</v>
      </c>
      <c r="D12" s="23" t="s">
        <v>42</v>
      </c>
      <c r="E12" s="24" t="s">
        <v>181</v>
      </c>
      <c r="F12" s="7"/>
      <c r="G12" s="8">
        <v>999</v>
      </c>
      <c r="H12" s="84"/>
      <c r="I12" s="1" t="s">
        <v>183</v>
      </c>
      <c r="J12" s="31" t="s">
        <v>184</v>
      </c>
      <c r="K12" s="32" t="str">
        <f t="shared" si="0"/>
        <v>492301</v>
      </c>
      <c r="L12" s="31" t="s">
        <v>185</v>
      </c>
      <c r="M12" s="33">
        <f t="shared" si="1"/>
        <v>999</v>
      </c>
      <c r="N12" s="1" t="s">
        <v>186</v>
      </c>
      <c r="O12" s="31" t="s">
        <v>187</v>
      </c>
      <c r="P12" s="31" t="s">
        <v>188</v>
      </c>
      <c r="Q12" s="31" t="s">
        <v>187</v>
      </c>
      <c r="R12" s="1" t="str">
        <f t="shared" si="2"/>
        <v>ACU-041-492301-63101503-999-ZZ-000-0000-000</v>
      </c>
    </row>
    <row r="13" spans="2:18" x14ac:dyDescent="0.35">
      <c r="B13" s="22" t="s">
        <v>179</v>
      </c>
      <c r="C13" s="15" t="s">
        <v>43</v>
      </c>
      <c r="D13" s="23" t="s">
        <v>44</v>
      </c>
      <c r="E13" s="24" t="s">
        <v>180</v>
      </c>
      <c r="F13" s="7"/>
      <c r="G13" s="8">
        <v>999</v>
      </c>
      <c r="H13" s="84"/>
      <c r="I13" s="1" t="s">
        <v>183</v>
      </c>
      <c r="J13" s="31" t="s">
        <v>184</v>
      </c>
      <c r="K13" s="32" t="str">
        <f t="shared" si="0"/>
        <v>494101</v>
      </c>
      <c r="L13" s="31" t="s">
        <v>185</v>
      </c>
      <c r="M13" s="33">
        <f t="shared" si="1"/>
        <v>999</v>
      </c>
      <c r="N13" s="1" t="s">
        <v>186</v>
      </c>
      <c r="O13" s="31" t="s">
        <v>187</v>
      </c>
      <c r="P13" s="31" t="s">
        <v>188</v>
      </c>
      <c r="Q13" s="31" t="s">
        <v>187</v>
      </c>
      <c r="R13" s="1" t="str">
        <f t="shared" si="2"/>
        <v>ACU-041-494101-63101503-999-ZZ-000-0000-000</v>
      </c>
    </row>
    <row r="14" spans="2:18" x14ac:dyDescent="0.35">
      <c r="B14" s="22" t="s">
        <v>45</v>
      </c>
      <c r="C14" s="15" t="s">
        <v>46</v>
      </c>
      <c r="D14" s="23" t="s">
        <v>47</v>
      </c>
      <c r="E14" s="24">
        <v>496102</v>
      </c>
      <c r="F14" s="7"/>
      <c r="G14" s="8">
        <v>999</v>
      </c>
      <c r="H14" s="84"/>
      <c r="I14" s="1" t="s">
        <v>183</v>
      </c>
      <c r="J14" s="31" t="s">
        <v>184</v>
      </c>
      <c r="K14" s="32">
        <f t="shared" si="0"/>
        <v>496102</v>
      </c>
      <c r="L14" s="31" t="s">
        <v>185</v>
      </c>
      <c r="M14" s="33">
        <f t="shared" si="1"/>
        <v>999</v>
      </c>
      <c r="N14" s="1" t="s">
        <v>186</v>
      </c>
      <c r="O14" s="31" t="s">
        <v>187</v>
      </c>
      <c r="P14" s="31" t="s">
        <v>188</v>
      </c>
      <c r="Q14" s="31" t="s">
        <v>187</v>
      </c>
      <c r="R14" s="1" t="str">
        <f t="shared" si="2"/>
        <v>ACU-041-496102-63101503-999-ZZ-000-0000-000</v>
      </c>
    </row>
    <row r="15" spans="2:18" x14ac:dyDescent="0.35">
      <c r="B15" s="22" t="s">
        <v>48</v>
      </c>
      <c r="C15" s="15" t="s">
        <v>49</v>
      </c>
      <c r="D15" s="23" t="s">
        <v>50</v>
      </c>
      <c r="E15" s="24">
        <v>495012</v>
      </c>
      <c r="F15" s="7"/>
      <c r="G15" s="8">
        <v>999</v>
      </c>
      <c r="H15" s="84"/>
      <c r="I15" s="1" t="s">
        <v>183</v>
      </c>
      <c r="J15" s="31" t="s">
        <v>184</v>
      </c>
      <c r="K15" s="32">
        <f t="shared" si="0"/>
        <v>495012</v>
      </c>
      <c r="L15" s="31" t="s">
        <v>185</v>
      </c>
      <c r="M15" s="33">
        <f t="shared" si="1"/>
        <v>999</v>
      </c>
      <c r="N15" s="1" t="s">
        <v>186</v>
      </c>
      <c r="O15" s="31" t="s">
        <v>187</v>
      </c>
      <c r="P15" s="31" t="s">
        <v>188</v>
      </c>
      <c r="Q15" s="31" t="s">
        <v>187</v>
      </c>
      <c r="R15" s="1" t="str">
        <f t="shared" si="2"/>
        <v>ACU-041-495012-63101503-999-ZZ-000-0000-000</v>
      </c>
    </row>
    <row r="16" spans="2:18" x14ac:dyDescent="0.35">
      <c r="B16" s="26" t="s">
        <v>51</v>
      </c>
      <c r="C16" s="15" t="s">
        <v>52</v>
      </c>
      <c r="D16" s="23" t="s">
        <v>53</v>
      </c>
      <c r="E16" s="24">
        <v>494301</v>
      </c>
      <c r="F16" s="7"/>
      <c r="G16" s="8">
        <v>999</v>
      </c>
      <c r="H16" s="84"/>
      <c r="I16" s="1" t="s">
        <v>183</v>
      </c>
      <c r="J16" s="31" t="s">
        <v>184</v>
      </c>
      <c r="K16" s="32">
        <f t="shared" si="0"/>
        <v>494301</v>
      </c>
      <c r="L16" s="31" t="s">
        <v>185</v>
      </c>
      <c r="M16" s="33">
        <f t="shared" si="1"/>
        <v>999</v>
      </c>
      <c r="N16" s="1" t="s">
        <v>186</v>
      </c>
      <c r="O16" s="31" t="s">
        <v>187</v>
      </c>
      <c r="P16" s="31" t="s">
        <v>188</v>
      </c>
      <c r="Q16" s="31" t="s">
        <v>187</v>
      </c>
      <c r="R16" s="1" t="str">
        <f t="shared" si="2"/>
        <v>ACU-041-494301-63101503-999-ZZ-000-0000-000</v>
      </c>
    </row>
    <row r="17" spans="2:18" x14ac:dyDescent="0.35">
      <c r="B17" s="26" t="s">
        <v>54</v>
      </c>
      <c r="C17" s="15" t="s">
        <v>55</v>
      </c>
      <c r="D17" s="23" t="s">
        <v>56</v>
      </c>
      <c r="E17" s="24">
        <v>490001</v>
      </c>
      <c r="F17" s="7"/>
      <c r="G17" s="8">
        <v>999</v>
      </c>
      <c r="H17" s="84"/>
      <c r="I17" s="1" t="s">
        <v>183</v>
      </c>
      <c r="J17" s="31" t="s">
        <v>184</v>
      </c>
      <c r="K17" s="32">
        <f t="shared" si="0"/>
        <v>490001</v>
      </c>
      <c r="L17" s="31" t="s">
        <v>185</v>
      </c>
      <c r="M17" s="33">
        <f t="shared" si="1"/>
        <v>999</v>
      </c>
      <c r="N17" s="1" t="s">
        <v>186</v>
      </c>
      <c r="O17" s="31" t="s">
        <v>187</v>
      </c>
      <c r="P17" s="31" t="s">
        <v>188</v>
      </c>
      <c r="Q17" s="31" t="s">
        <v>187</v>
      </c>
      <c r="R17" s="1" t="str">
        <f t="shared" si="2"/>
        <v>ACU-041-490001-63101503-999-ZZ-000-0000-000</v>
      </c>
    </row>
    <row r="18" spans="2:18" x14ac:dyDescent="0.35">
      <c r="B18" s="22" t="s">
        <v>58</v>
      </c>
      <c r="C18" s="15" t="s">
        <v>59</v>
      </c>
      <c r="D18" s="23" t="s">
        <v>60</v>
      </c>
      <c r="E18" s="24">
        <v>414002</v>
      </c>
      <c r="F18" s="5"/>
      <c r="G18" s="10">
        <v>244</v>
      </c>
      <c r="H18" s="10" t="s">
        <v>57</v>
      </c>
      <c r="I18" s="1" t="s">
        <v>183</v>
      </c>
      <c r="J18" s="31" t="s">
        <v>184</v>
      </c>
      <c r="K18" s="32">
        <f t="shared" ref="K18" si="3">E18</f>
        <v>414002</v>
      </c>
      <c r="L18" s="31" t="s">
        <v>185</v>
      </c>
      <c r="M18" s="33">
        <f t="shared" ref="M18" si="4">G18</f>
        <v>244</v>
      </c>
      <c r="N18" s="1">
        <v>96</v>
      </c>
      <c r="O18" s="31" t="s">
        <v>187</v>
      </c>
      <c r="P18" s="31" t="s">
        <v>188</v>
      </c>
      <c r="Q18" s="31" t="s">
        <v>187</v>
      </c>
      <c r="R18" s="1" t="str">
        <f t="shared" si="2"/>
        <v>ACU-041-414002-63101503-244-96-000-0000-000</v>
      </c>
    </row>
    <row r="19" spans="2:18" x14ac:dyDescent="0.35">
      <c r="B19" s="14" t="s">
        <v>61</v>
      </c>
      <c r="C19" s="15" t="s">
        <v>62</v>
      </c>
      <c r="D19" s="13" t="s">
        <v>63</v>
      </c>
      <c r="E19" s="13">
        <v>411001</v>
      </c>
      <c r="G19" s="11" t="s">
        <v>64</v>
      </c>
      <c r="H19" s="11" t="s">
        <v>65</v>
      </c>
      <c r="I19" s="1" t="s">
        <v>183</v>
      </c>
      <c r="J19" s="31" t="s">
        <v>184</v>
      </c>
      <c r="K19" s="32">
        <f t="shared" ref="K19:K50" si="5">E19</f>
        <v>411001</v>
      </c>
      <c r="L19" s="31" t="s">
        <v>185</v>
      </c>
      <c r="M19" s="33" t="str">
        <f t="shared" ref="M19:M50" si="6">G19</f>
        <v>208</v>
      </c>
      <c r="N19" s="1" t="s">
        <v>189</v>
      </c>
      <c r="O19" s="31" t="s">
        <v>187</v>
      </c>
      <c r="P19" s="31" t="s">
        <v>188</v>
      </c>
      <c r="Q19" s="31" t="s">
        <v>187</v>
      </c>
      <c r="R19" s="1" t="str">
        <f t="shared" si="2"/>
        <v>ACU-041-411001-63101503-208-DH-000-0000-000</v>
      </c>
    </row>
    <row r="20" spans="2:18" x14ac:dyDescent="0.35">
      <c r="B20" s="14" t="s">
        <v>66</v>
      </c>
      <c r="C20" s="15" t="s">
        <v>67</v>
      </c>
      <c r="D20" s="13" t="s">
        <v>68</v>
      </c>
      <c r="E20" s="13">
        <v>411301</v>
      </c>
      <c r="G20" s="11" t="s">
        <v>69</v>
      </c>
      <c r="H20" s="11" t="s">
        <v>66</v>
      </c>
      <c r="I20" s="1" t="s">
        <v>183</v>
      </c>
      <c r="J20" s="31" t="s">
        <v>184</v>
      </c>
      <c r="K20" s="32">
        <f t="shared" si="5"/>
        <v>411301</v>
      </c>
      <c r="L20" s="31" t="s">
        <v>185</v>
      </c>
      <c r="M20" s="33" t="str">
        <f t="shared" si="6"/>
        <v>161</v>
      </c>
      <c r="N20" s="1" t="s">
        <v>190</v>
      </c>
      <c r="O20" s="31" t="s">
        <v>187</v>
      </c>
      <c r="P20" s="31" t="s">
        <v>188</v>
      </c>
      <c r="Q20" s="31" t="s">
        <v>187</v>
      </c>
      <c r="R20" s="1" t="str">
        <f t="shared" si="2"/>
        <v>ACU-041-411301-63101503-161-5B-000-0000-000</v>
      </c>
    </row>
    <row r="21" spans="2:18" ht="25" x14ac:dyDescent="0.35">
      <c r="B21" s="14" t="s">
        <v>70</v>
      </c>
      <c r="C21" s="15" t="s">
        <v>71</v>
      </c>
      <c r="D21" s="13" t="s">
        <v>72</v>
      </c>
      <c r="E21" s="13">
        <v>411307</v>
      </c>
      <c r="G21" s="11" t="s">
        <v>73</v>
      </c>
      <c r="H21" s="11" t="s">
        <v>74</v>
      </c>
      <c r="I21" s="1" t="s">
        <v>183</v>
      </c>
      <c r="J21" s="31" t="s">
        <v>184</v>
      </c>
      <c r="K21" s="32">
        <f t="shared" si="5"/>
        <v>411307</v>
      </c>
      <c r="L21" s="31" t="s">
        <v>185</v>
      </c>
      <c r="M21" s="33" t="str">
        <f t="shared" si="6"/>
        <v>101</v>
      </c>
      <c r="N21" s="1" t="s">
        <v>189</v>
      </c>
      <c r="O21" s="31" t="s">
        <v>187</v>
      </c>
      <c r="P21" s="31" t="s">
        <v>188</v>
      </c>
      <c r="Q21" s="31" t="s">
        <v>187</v>
      </c>
      <c r="R21" s="1" t="str">
        <f t="shared" si="2"/>
        <v>ACU-041-411307-63101503-101-DH-000-0000-000</v>
      </c>
    </row>
    <row r="22" spans="2:18" x14ac:dyDescent="0.35">
      <c r="B22" s="14" t="s">
        <v>75</v>
      </c>
      <c r="C22" s="15" t="s">
        <v>76</v>
      </c>
      <c r="D22" s="16" t="s">
        <v>77</v>
      </c>
      <c r="E22" s="16">
        <v>413116</v>
      </c>
      <c r="G22" s="11">
        <v>155</v>
      </c>
      <c r="H22" s="11" t="s">
        <v>78</v>
      </c>
      <c r="I22" s="1" t="s">
        <v>183</v>
      </c>
      <c r="J22" s="31" t="s">
        <v>184</v>
      </c>
      <c r="K22" s="32">
        <f t="shared" si="5"/>
        <v>413116</v>
      </c>
      <c r="L22" s="31" t="s">
        <v>185</v>
      </c>
      <c r="M22" s="33">
        <f t="shared" si="6"/>
        <v>155</v>
      </c>
      <c r="O22" s="31" t="s">
        <v>187</v>
      </c>
      <c r="P22" s="31" t="s">
        <v>188</v>
      </c>
      <c r="Q22" s="31" t="s">
        <v>187</v>
      </c>
      <c r="R22" s="1" t="str">
        <f t="shared" si="2"/>
        <v>ACU-041-413116-63101503-155--000-0000-000</v>
      </c>
    </row>
    <row r="23" spans="2:18" x14ac:dyDescent="0.35">
      <c r="B23" s="14" t="s">
        <v>79</v>
      </c>
      <c r="C23" s="15" t="s">
        <v>80</v>
      </c>
      <c r="D23" s="13" t="s">
        <v>81</v>
      </c>
      <c r="E23" s="13">
        <v>411406</v>
      </c>
      <c r="G23" s="11">
        <v>998</v>
      </c>
      <c r="H23" s="78" t="s">
        <v>82</v>
      </c>
      <c r="I23" s="1" t="s">
        <v>183</v>
      </c>
      <c r="J23" s="31" t="s">
        <v>184</v>
      </c>
      <c r="K23" s="32">
        <f t="shared" si="5"/>
        <v>411406</v>
      </c>
      <c r="L23" s="31" t="s">
        <v>185</v>
      </c>
      <c r="M23" s="33">
        <f t="shared" si="6"/>
        <v>998</v>
      </c>
      <c r="O23" s="31" t="s">
        <v>187</v>
      </c>
      <c r="P23" s="31" t="s">
        <v>188</v>
      </c>
      <c r="Q23" s="31" t="s">
        <v>187</v>
      </c>
      <c r="R23" s="1" t="str">
        <f t="shared" si="2"/>
        <v>ACU-041-411406-63101503-998--000-0000-000</v>
      </c>
    </row>
    <row r="24" spans="2:18" x14ac:dyDescent="0.35">
      <c r="B24" s="14" t="s">
        <v>83</v>
      </c>
      <c r="C24" s="15" t="s">
        <v>84</v>
      </c>
      <c r="D24" s="16" t="s">
        <v>85</v>
      </c>
      <c r="E24" s="13">
        <v>411104</v>
      </c>
      <c r="F24" s="12"/>
      <c r="G24" s="13">
        <v>998</v>
      </c>
      <c r="H24" s="79"/>
      <c r="I24" s="1" t="s">
        <v>183</v>
      </c>
      <c r="J24" s="31" t="s">
        <v>184</v>
      </c>
      <c r="K24" s="32">
        <f t="shared" si="5"/>
        <v>411104</v>
      </c>
      <c r="L24" s="31" t="s">
        <v>185</v>
      </c>
      <c r="M24" s="33">
        <f t="shared" si="6"/>
        <v>998</v>
      </c>
      <c r="N24" s="1" t="s">
        <v>189</v>
      </c>
      <c r="O24" s="31" t="s">
        <v>187</v>
      </c>
      <c r="P24" s="31" t="s">
        <v>188</v>
      </c>
      <c r="Q24" s="31" t="s">
        <v>187</v>
      </c>
      <c r="R24" s="1" t="str">
        <f t="shared" si="2"/>
        <v>ACU-041-411104-63101503-998-DH-000-0000-000</v>
      </c>
    </row>
    <row r="25" spans="2:18" x14ac:dyDescent="0.35">
      <c r="B25" s="14" t="s">
        <v>86</v>
      </c>
      <c r="C25" s="15" t="s">
        <v>87</v>
      </c>
      <c r="D25" s="16" t="s">
        <v>88</v>
      </c>
      <c r="E25" s="17" t="s">
        <v>89</v>
      </c>
      <c r="F25" s="12"/>
      <c r="G25" s="13">
        <v>998</v>
      </c>
      <c r="H25" s="79"/>
      <c r="I25" s="1" t="s">
        <v>183</v>
      </c>
      <c r="J25" s="31" t="s">
        <v>184</v>
      </c>
      <c r="K25" s="32" t="str">
        <f t="shared" si="5"/>
        <v>411002</v>
      </c>
      <c r="L25" s="31" t="s">
        <v>185</v>
      </c>
      <c r="M25" s="33">
        <f t="shared" si="6"/>
        <v>998</v>
      </c>
      <c r="N25" s="1" t="s">
        <v>189</v>
      </c>
      <c r="O25" s="31" t="s">
        <v>187</v>
      </c>
      <c r="P25" s="31" t="s">
        <v>188</v>
      </c>
      <c r="Q25" s="31" t="s">
        <v>187</v>
      </c>
      <c r="R25" s="1" t="str">
        <f t="shared" si="2"/>
        <v>ACU-041-411002-63101503-998-DH-000-0000-000</v>
      </c>
    </row>
    <row r="26" spans="2:18" x14ac:dyDescent="0.35">
      <c r="B26" s="14" t="s">
        <v>90</v>
      </c>
      <c r="C26" s="15" t="s">
        <v>91</v>
      </c>
      <c r="D26" s="16" t="s">
        <v>92</v>
      </c>
      <c r="E26" s="17">
        <v>421101</v>
      </c>
      <c r="F26" s="12"/>
      <c r="G26" s="13">
        <v>998</v>
      </c>
      <c r="H26" s="79"/>
      <c r="I26" s="1" t="s">
        <v>183</v>
      </c>
      <c r="J26" s="31" t="s">
        <v>184</v>
      </c>
      <c r="K26" s="32">
        <f t="shared" si="5"/>
        <v>421101</v>
      </c>
      <c r="L26" s="31" t="s">
        <v>185</v>
      </c>
      <c r="M26" s="33">
        <f t="shared" si="6"/>
        <v>998</v>
      </c>
      <c r="N26" s="1" t="s">
        <v>189</v>
      </c>
      <c r="O26" s="31" t="s">
        <v>187</v>
      </c>
      <c r="P26" s="31" t="s">
        <v>188</v>
      </c>
      <c r="Q26" s="31" t="s">
        <v>187</v>
      </c>
      <c r="R26" s="1" t="str">
        <f t="shared" si="2"/>
        <v>ACU-041-421101-63101503-998-DH-000-0000-000</v>
      </c>
    </row>
    <row r="27" spans="2:18" x14ac:dyDescent="0.35">
      <c r="B27" s="14" t="s">
        <v>93</v>
      </c>
      <c r="C27" s="15" t="s">
        <v>94</v>
      </c>
      <c r="D27" s="16" t="s">
        <v>95</v>
      </c>
      <c r="E27" s="17" t="s">
        <v>96</v>
      </c>
      <c r="F27" s="12"/>
      <c r="G27" s="13">
        <v>998</v>
      </c>
      <c r="H27" s="79"/>
      <c r="I27" s="1" t="s">
        <v>183</v>
      </c>
      <c r="J27" s="31" t="s">
        <v>184</v>
      </c>
      <c r="K27" s="32" t="str">
        <f t="shared" si="5"/>
        <v>426006</v>
      </c>
      <c r="L27" s="31" t="s">
        <v>185</v>
      </c>
      <c r="M27" s="33">
        <f t="shared" si="6"/>
        <v>998</v>
      </c>
      <c r="N27" s="1" t="s">
        <v>190</v>
      </c>
      <c r="O27" s="31" t="s">
        <v>187</v>
      </c>
      <c r="P27" s="31" t="s">
        <v>188</v>
      </c>
      <c r="Q27" s="31" t="s">
        <v>187</v>
      </c>
      <c r="R27" s="1" t="str">
        <f t="shared" si="2"/>
        <v>ACU-041-426006-63101503-998-5B-000-0000-000</v>
      </c>
    </row>
    <row r="28" spans="2:18" x14ac:dyDescent="0.35">
      <c r="B28" s="14" t="s">
        <v>97</v>
      </c>
      <c r="C28" s="15" t="s">
        <v>98</v>
      </c>
      <c r="D28" s="16" t="s">
        <v>99</v>
      </c>
      <c r="E28" s="17">
        <v>426011</v>
      </c>
      <c r="F28" s="12"/>
      <c r="G28" s="13">
        <v>998</v>
      </c>
      <c r="H28" s="79"/>
      <c r="I28" s="1" t="s">
        <v>183</v>
      </c>
      <c r="J28" s="31" t="s">
        <v>184</v>
      </c>
      <c r="K28" s="32">
        <f t="shared" si="5"/>
        <v>426011</v>
      </c>
      <c r="L28" s="31" t="s">
        <v>185</v>
      </c>
      <c r="M28" s="33">
        <f t="shared" si="6"/>
        <v>998</v>
      </c>
      <c r="N28" s="1" t="s">
        <v>189</v>
      </c>
      <c r="O28" s="31" t="s">
        <v>187</v>
      </c>
      <c r="P28" s="31" t="s">
        <v>188</v>
      </c>
      <c r="Q28" s="31" t="s">
        <v>187</v>
      </c>
      <c r="R28" s="1" t="str">
        <f t="shared" si="2"/>
        <v>ACU-041-426011-63101503-998-DH-000-0000-000</v>
      </c>
    </row>
    <row r="29" spans="2:18" x14ac:dyDescent="0.35">
      <c r="B29" s="18" t="s">
        <v>100</v>
      </c>
      <c r="C29" s="15" t="s">
        <v>101</v>
      </c>
      <c r="D29" s="16" t="s">
        <v>102</v>
      </c>
      <c r="E29" s="17">
        <v>426012</v>
      </c>
      <c r="F29" s="12"/>
      <c r="G29" s="13">
        <v>998</v>
      </c>
      <c r="H29" s="79"/>
      <c r="I29" s="1" t="s">
        <v>183</v>
      </c>
      <c r="J29" s="31" t="s">
        <v>184</v>
      </c>
      <c r="K29" s="32">
        <f t="shared" si="5"/>
        <v>426012</v>
      </c>
      <c r="L29" s="31" t="s">
        <v>185</v>
      </c>
      <c r="M29" s="33">
        <f t="shared" si="6"/>
        <v>998</v>
      </c>
      <c r="N29" s="1">
        <v>96</v>
      </c>
      <c r="O29" s="31" t="s">
        <v>187</v>
      </c>
      <c r="P29" s="31" t="s">
        <v>188</v>
      </c>
      <c r="Q29" s="31" t="s">
        <v>187</v>
      </c>
      <c r="R29" s="1" t="str">
        <f t="shared" si="2"/>
        <v>ACU-041-426012-63101503-998-96-000-0000-000</v>
      </c>
    </row>
    <row r="30" spans="2:18" x14ac:dyDescent="0.35">
      <c r="B30" s="14" t="s">
        <v>103</v>
      </c>
      <c r="C30" s="15" t="s">
        <v>104</v>
      </c>
      <c r="D30" s="13" t="s">
        <v>105</v>
      </c>
      <c r="E30" s="13">
        <v>461101</v>
      </c>
      <c r="G30" s="11">
        <v>998</v>
      </c>
      <c r="H30" s="79"/>
      <c r="I30" s="1" t="s">
        <v>183</v>
      </c>
      <c r="J30" s="31" t="s">
        <v>184</v>
      </c>
      <c r="K30" s="32">
        <f t="shared" si="5"/>
        <v>461101</v>
      </c>
      <c r="L30" s="31" t="s">
        <v>185</v>
      </c>
      <c r="M30" s="33">
        <f t="shared" si="6"/>
        <v>998</v>
      </c>
      <c r="N30" s="1" t="s">
        <v>189</v>
      </c>
      <c r="O30" s="31" t="s">
        <v>187</v>
      </c>
      <c r="P30" s="31" t="s">
        <v>188</v>
      </c>
      <c r="Q30" s="31" t="s">
        <v>187</v>
      </c>
      <c r="R30" s="1" t="str">
        <f t="shared" si="2"/>
        <v>ACU-041-461101-63101503-998-DH-000-0000-000</v>
      </c>
    </row>
    <row r="31" spans="2:18" x14ac:dyDescent="0.35">
      <c r="B31" s="14" t="s">
        <v>106</v>
      </c>
      <c r="C31" s="15" t="s">
        <v>107</v>
      </c>
      <c r="D31" s="13" t="s">
        <v>108</v>
      </c>
      <c r="E31" s="13">
        <v>411302</v>
      </c>
      <c r="G31" s="11">
        <v>998</v>
      </c>
      <c r="H31" s="79"/>
      <c r="I31" s="1" t="s">
        <v>183</v>
      </c>
      <c r="J31" s="31" t="s">
        <v>184</v>
      </c>
      <c r="K31" s="32">
        <f t="shared" si="5"/>
        <v>411302</v>
      </c>
      <c r="L31" s="31" t="s">
        <v>185</v>
      </c>
      <c r="M31" s="33">
        <f t="shared" si="6"/>
        <v>998</v>
      </c>
      <c r="N31" s="1" t="s">
        <v>190</v>
      </c>
      <c r="O31" s="31" t="s">
        <v>187</v>
      </c>
      <c r="P31" s="31" t="s">
        <v>188</v>
      </c>
      <c r="Q31" s="31" t="s">
        <v>187</v>
      </c>
      <c r="R31" s="1" t="str">
        <f t="shared" si="2"/>
        <v>ACU-041-411302-63101503-998-5B-000-0000-000</v>
      </c>
    </row>
    <row r="32" spans="2:18" x14ac:dyDescent="0.35">
      <c r="B32" s="14" t="s">
        <v>109</v>
      </c>
      <c r="C32" s="15" t="s">
        <v>110</v>
      </c>
      <c r="D32" s="16" t="s">
        <v>111</v>
      </c>
      <c r="E32" s="17">
        <v>470001</v>
      </c>
      <c r="G32" s="11">
        <v>998</v>
      </c>
      <c r="H32" s="79"/>
      <c r="I32" s="1" t="s">
        <v>183</v>
      </c>
      <c r="J32" s="31" t="s">
        <v>184</v>
      </c>
      <c r="K32" s="32">
        <f t="shared" si="5"/>
        <v>470001</v>
      </c>
      <c r="L32" s="31" t="s">
        <v>185</v>
      </c>
      <c r="M32" s="33">
        <f t="shared" si="6"/>
        <v>998</v>
      </c>
      <c r="N32" s="1" t="s">
        <v>189</v>
      </c>
      <c r="O32" s="31" t="s">
        <v>187</v>
      </c>
      <c r="P32" s="31" t="s">
        <v>188</v>
      </c>
      <c r="Q32" s="31" t="s">
        <v>187</v>
      </c>
      <c r="R32" s="1" t="str">
        <f t="shared" si="2"/>
        <v>ACU-041-470001-63101503-998-DH-000-0000-000</v>
      </c>
    </row>
    <row r="33" spans="2:18" x14ac:dyDescent="0.35">
      <c r="B33" s="14" t="s">
        <v>112</v>
      </c>
      <c r="C33" s="15" t="s">
        <v>113</v>
      </c>
      <c r="D33" s="13" t="s">
        <v>114</v>
      </c>
      <c r="E33" s="13">
        <v>426014</v>
      </c>
      <c r="G33" s="11">
        <v>998</v>
      </c>
      <c r="H33" s="80"/>
      <c r="I33" s="1" t="s">
        <v>183</v>
      </c>
      <c r="J33" s="31" t="s">
        <v>184</v>
      </c>
      <c r="K33" s="32">
        <f t="shared" si="5"/>
        <v>426014</v>
      </c>
      <c r="L33" s="31" t="s">
        <v>185</v>
      </c>
      <c r="M33" s="33">
        <f t="shared" si="6"/>
        <v>998</v>
      </c>
      <c r="O33" s="31" t="s">
        <v>187</v>
      </c>
      <c r="P33" s="31" t="s">
        <v>188</v>
      </c>
      <c r="Q33" s="31" t="s">
        <v>187</v>
      </c>
      <c r="R33" s="1" t="str">
        <f t="shared" si="2"/>
        <v>ACU-041-426014-63101503-998--000-0000-000</v>
      </c>
    </row>
    <row r="34" spans="2:18" x14ac:dyDescent="0.35">
      <c r="B34" s="14" t="s">
        <v>115</v>
      </c>
      <c r="C34" s="15" t="s">
        <v>116</v>
      </c>
      <c r="D34" s="13" t="s">
        <v>117</v>
      </c>
      <c r="E34" s="13">
        <v>411403</v>
      </c>
      <c r="F34" s="19" t="s">
        <v>118</v>
      </c>
      <c r="G34" s="11" t="s">
        <v>119</v>
      </c>
      <c r="H34" s="11" t="s">
        <v>120</v>
      </c>
      <c r="I34" s="1" t="s">
        <v>183</v>
      </c>
      <c r="J34" s="31" t="s">
        <v>184</v>
      </c>
      <c r="K34" s="32">
        <f t="shared" si="5"/>
        <v>411403</v>
      </c>
      <c r="L34" s="31" t="s">
        <v>185</v>
      </c>
      <c r="M34" s="33" t="str">
        <f t="shared" si="6"/>
        <v>141</v>
      </c>
      <c r="N34" s="1" t="s">
        <v>192</v>
      </c>
      <c r="O34" s="31" t="s">
        <v>187</v>
      </c>
      <c r="P34" s="31" t="s">
        <v>188</v>
      </c>
      <c r="Q34" s="31" t="s">
        <v>187</v>
      </c>
      <c r="R34" s="1" t="str">
        <f t="shared" si="2"/>
        <v>ACU-041-411403-63101503-141-AA-000-0000-000</v>
      </c>
    </row>
    <row r="35" spans="2:18" x14ac:dyDescent="0.35">
      <c r="B35" s="14" t="s">
        <v>121</v>
      </c>
      <c r="C35" s="15" t="s">
        <v>122</v>
      </c>
      <c r="D35" s="13" t="s">
        <v>123</v>
      </c>
      <c r="E35" s="13">
        <v>411401</v>
      </c>
      <c r="F35" s="19" t="s">
        <v>118</v>
      </c>
      <c r="G35" s="11" t="s">
        <v>124</v>
      </c>
      <c r="H35" s="11" t="s">
        <v>125</v>
      </c>
      <c r="I35" s="1" t="s">
        <v>183</v>
      </c>
      <c r="J35" s="31" t="s">
        <v>184</v>
      </c>
      <c r="K35" s="32">
        <f t="shared" si="5"/>
        <v>411401</v>
      </c>
      <c r="L35" s="31" t="s">
        <v>185</v>
      </c>
      <c r="M35" s="33" t="str">
        <f t="shared" si="6"/>
        <v>142</v>
      </c>
      <c r="N35" s="1" t="s">
        <v>192</v>
      </c>
      <c r="O35" s="31" t="s">
        <v>187</v>
      </c>
      <c r="P35" s="31" t="s">
        <v>188</v>
      </c>
      <c r="Q35" s="31" t="s">
        <v>187</v>
      </c>
      <c r="R35" s="1" t="str">
        <f t="shared" si="2"/>
        <v>ACU-041-411401-63101503-142-AA-000-0000-000</v>
      </c>
    </row>
    <row r="36" spans="2:18" x14ac:dyDescent="0.35">
      <c r="B36" s="14" t="s">
        <v>126</v>
      </c>
      <c r="C36" s="15" t="s">
        <v>127</v>
      </c>
      <c r="D36" s="16" t="s">
        <v>128</v>
      </c>
      <c r="E36" s="13">
        <v>411003</v>
      </c>
      <c r="F36" s="19" t="s">
        <v>118</v>
      </c>
      <c r="G36" s="6" t="str">
        <f>TEXT(210,0)</f>
        <v>210</v>
      </c>
      <c r="H36" s="6" t="s">
        <v>129</v>
      </c>
      <c r="I36" s="1" t="s">
        <v>183</v>
      </c>
      <c r="J36" s="31" t="s">
        <v>184</v>
      </c>
      <c r="K36" s="32">
        <f t="shared" si="5"/>
        <v>411003</v>
      </c>
      <c r="L36" s="31" t="s">
        <v>185</v>
      </c>
      <c r="M36" s="33" t="str">
        <f t="shared" si="6"/>
        <v>210</v>
      </c>
      <c r="N36" s="1" t="s">
        <v>191</v>
      </c>
      <c r="O36" s="31" t="s">
        <v>187</v>
      </c>
      <c r="P36" s="31" t="s">
        <v>188</v>
      </c>
      <c r="Q36" s="31" t="s">
        <v>187</v>
      </c>
      <c r="R36" s="1" t="str">
        <f t="shared" si="2"/>
        <v>ACU-041-411003-63101503-210-UO-000-0000-000</v>
      </c>
    </row>
    <row r="37" spans="2:18" x14ac:dyDescent="0.35">
      <c r="B37" s="14" t="s">
        <v>130</v>
      </c>
      <c r="C37" s="15" t="s">
        <v>131</v>
      </c>
      <c r="D37" s="16" t="s">
        <v>132</v>
      </c>
      <c r="E37" s="17">
        <v>411408</v>
      </c>
      <c r="F37" s="19" t="s">
        <v>118</v>
      </c>
      <c r="G37" s="11" t="s">
        <v>133</v>
      </c>
      <c r="H37" s="11" t="s">
        <v>134</v>
      </c>
      <c r="I37" s="1" t="s">
        <v>183</v>
      </c>
      <c r="J37" s="31" t="s">
        <v>184</v>
      </c>
      <c r="K37" s="32">
        <f t="shared" si="5"/>
        <v>411408</v>
      </c>
      <c r="L37" s="31" t="s">
        <v>185</v>
      </c>
      <c r="M37" s="33" t="str">
        <f t="shared" si="6"/>
        <v>143</v>
      </c>
      <c r="O37" s="31" t="s">
        <v>187</v>
      </c>
      <c r="P37" s="31" t="s">
        <v>188</v>
      </c>
      <c r="Q37" s="31" t="s">
        <v>187</v>
      </c>
      <c r="R37" s="1" t="str">
        <f t="shared" si="2"/>
        <v>ACU-041-411408-63101503-143--000-0000-000</v>
      </c>
    </row>
    <row r="38" spans="2:18" ht="25" x14ac:dyDescent="0.35">
      <c r="B38" s="14" t="s">
        <v>135</v>
      </c>
      <c r="C38" s="15" t="s">
        <v>136</v>
      </c>
      <c r="D38" s="27" t="s">
        <v>137</v>
      </c>
      <c r="E38" s="13">
        <v>460410</v>
      </c>
      <c r="F38" s="19" t="s">
        <v>118</v>
      </c>
      <c r="G38" s="11" t="s">
        <v>138</v>
      </c>
      <c r="H38" s="11" t="s">
        <v>139</v>
      </c>
      <c r="I38" s="1" t="s">
        <v>183</v>
      </c>
      <c r="J38" s="31" t="s">
        <v>184</v>
      </c>
      <c r="K38" s="32">
        <f t="shared" si="5"/>
        <v>460410</v>
      </c>
      <c r="L38" s="31" t="s">
        <v>185</v>
      </c>
      <c r="M38" s="33" t="str">
        <f t="shared" si="6"/>
        <v>172</v>
      </c>
      <c r="N38" s="1" t="s">
        <v>192</v>
      </c>
      <c r="O38" s="31" t="s">
        <v>187</v>
      </c>
      <c r="P38" s="31" t="s">
        <v>188</v>
      </c>
      <c r="Q38" s="31" t="s">
        <v>187</v>
      </c>
      <c r="R38" s="1" t="str">
        <f t="shared" si="2"/>
        <v>ACU-041-460410-63101503-172-AA-000-0000-000</v>
      </c>
    </row>
    <row r="39" spans="2:18" x14ac:dyDescent="0.35">
      <c r="B39" s="14" t="s">
        <v>140</v>
      </c>
      <c r="C39" s="15" t="s">
        <v>141</v>
      </c>
      <c r="D39" s="13" t="s">
        <v>142</v>
      </c>
      <c r="E39" s="13">
        <v>425103</v>
      </c>
      <c r="F39" s="19" t="s">
        <v>143</v>
      </c>
      <c r="G39" s="11" t="s">
        <v>144</v>
      </c>
      <c r="H39" s="11" t="s">
        <v>145</v>
      </c>
      <c r="I39" s="1" t="s">
        <v>183</v>
      </c>
      <c r="J39" s="31" t="s">
        <v>184</v>
      </c>
      <c r="K39" s="32">
        <f t="shared" si="5"/>
        <v>425103</v>
      </c>
      <c r="L39" s="31" t="s">
        <v>185</v>
      </c>
      <c r="M39" s="33" t="str">
        <f t="shared" si="6"/>
        <v>173</v>
      </c>
      <c r="N39" s="1" t="s">
        <v>192</v>
      </c>
      <c r="O39" s="31" t="s">
        <v>187</v>
      </c>
      <c r="P39" s="31" t="s">
        <v>188</v>
      </c>
      <c r="Q39" s="31" t="s">
        <v>187</v>
      </c>
      <c r="R39" s="1" t="str">
        <f t="shared" si="2"/>
        <v>ACU-041-425103-63101503-173-AA-000-0000-000</v>
      </c>
    </row>
    <row r="40" spans="2:18" x14ac:dyDescent="0.35">
      <c r="B40" s="14" t="s">
        <v>146</v>
      </c>
      <c r="C40" s="15" t="s">
        <v>147</v>
      </c>
      <c r="D40" s="13" t="s">
        <v>148</v>
      </c>
      <c r="E40" s="13">
        <v>411310</v>
      </c>
      <c r="F40" s="19" t="s">
        <v>143</v>
      </c>
      <c r="G40" s="11" t="s">
        <v>144</v>
      </c>
      <c r="H40" s="11" t="s">
        <v>145</v>
      </c>
      <c r="I40" s="1" t="s">
        <v>183</v>
      </c>
      <c r="J40" s="31" t="s">
        <v>184</v>
      </c>
      <c r="K40" s="32">
        <f t="shared" si="5"/>
        <v>411310</v>
      </c>
      <c r="L40" s="31" t="s">
        <v>185</v>
      </c>
      <c r="M40" s="33" t="str">
        <f t="shared" si="6"/>
        <v>173</v>
      </c>
      <c r="N40" s="1" t="s">
        <v>192</v>
      </c>
      <c r="O40" s="31" t="s">
        <v>187</v>
      </c>
      <c r="P40" s="31" t="s">
        <v>188</v>
      </c>
      <c r="Q40" s="31" t="s">
        <v>187</v>
      </c>
      <c r="R40" s="1" t="str">
        <f t="shared" si="2"/>
        <v>ACU-041-411310-63101503-173-AA-000-0000-000</v>
      </c>
    </row>
    <row r="41" spans="2:18" x14ac:dyDescent="0.35">
      <c r="B41" s="14" t="s">
        <v>149</v>
      </c>
      <c r="C41" s="15" t="s">
        <v>150</v>
      </c>
      <c r="D41" s="16" t="s">
        <v>151</v>
      </c>
      <c r="E41" s="17">
        <v>421401</v>
      </c>
      <c r="G41" s="11">
        <v>232</v>
      </c>
      <c r="H41" s="11" t="s">
        <v>149</v>
      </c>
      <c r="I41" s="1" t="s">
        <v>183</v>
      </c>
      <c r="J41" s="31" t="s">
        <v>184</v>
      </c>
      <c r="K41" s="32">
        <f t="shared" si="5"/>
        <v>421401</v>
      </c>
      <c r="L41" s="31" t="s">
        <v>185</v>
      </c>
      <c r="M41" s="33">
        <f t="shared" si="6"/>
        <v>232</v>
      </c>
      <c r="N41" s="1" t="s">
        <v>192</v>
      </c>
      <c r="O41" s="31" t="s">
        <v>187</v>
      </c>
      <c r="P41" s="31" t="s">
        <v>188</v>
      </c>
      <c r="Q41" s="31" t="s">
        <v>187</v>
      </c>
      <c r="R41" s="1" t="str">
        <f t="shared" si="2"/>
        <v>ACU-041-421401-63101503-232-AA-000-0000-000</v>
      </c>
    </row>
    <row r="42" spans="2:18" x14ac:dyDescent="0.35">
      <c r="B42" s="14" t="s">
        <v>152</v>
      </c>
      <c r="C42" s="15" t="s">
        <v>153</v>
      </c>
      <c r="D42" s="16" t="s">
        <v>154</v>
      </c>
      <c r="E42" s="16">
        <v>480101</v>
      </c>
      <c r="G42" s="20">
        <v>171</v>
      </c>
      <c r="H42" s="77" t="s">
        <v>155</v>
      </c>
      <c r="I42" s="1" t="s">
        <v>183</v>
      </c>
      <c r="J42" s="31" t="s">
        <v>184</v>
      </c>
      <c r="K42" s="32">
        <f t="shared" si="5"/>
        <v>480101</v>
      </c>
      <c r="L42" s="31" t="s">
        <v>185</v>
      </c>
      <c r="M42" s="33">
        <f t="shared" si="6"/>
        <v>171</v>
      </c>
      <c r="O42" s="31" t="s">
        <v>187</v>
      </c>
      <c r="P42" s="31" t="s">
        <v>188</v>
      </c>
      <c r="Q42" s="31" t="s">
        <v>187</v>
      </c>
      <c r="R42" s="1" t="str">
        <f t="shared" si="2"/>
        <v>ACU-041-480101-63101503-171--000-0000-000</v>
      </c>
    </row>
    <row r="43" spans="2:18" x14ac:dyDescent="0.35">
      <c r="B43" s="14" t="s">
        <v>156</v>
      </c>
      <c r="C43" s="15" t="s">
        <v>157</v>
      </c>
      <c r="D43" s="16" t="s">
        <v>158</v>
      </c>
      <c r="E43" s="16">
        <v>413110</v>
      </c>
      <c r="G43" s="20">
        <v>171</v>
      </c>
      <c r="H43" s="77"/>
      <c r="I43" s="1" t="s">
        <v>183</v>
      </c>
      <c r="J43" s="31" t="s">
        <v>184</v>
      </c>
      <c r="K43" s="32">
        <f t="shared" si="5"/>
        <v>413110</v>
      </c>
      <c r="L43" s="31" t="s">
        <v>185</v>
      </c>
      <c r="M43" s="33">
        <f t="shared" si="6"/>
        <v>171</v>
      </c>
      <c r="O43" s="31" t="s">
        <v>187</v>
      </c>
      <c r="P43" s="31" t="s">
        <v>188</v>
      </c>
      <c r="Q43" s="31" t="s">
        <v>187</v>
      </c>
      <c r="R43" s="1" t="str">
        <f t="shared" si="2"/>
        <v>ACU-041-413110-63101503-171--000-0000-000</v>
      </c>
    </row>
    <row r="44" spans="2:18" x14ac:dyDescent="0.35">
      <c r="B44" s="14" t="s">
        <v>159</v>
      </c>
      <c r="C44" s="15" t="s">
        <v>160</v>
      </c>
      <c r="D44" s="16" t="s">
        <v>158</v>
      </c>
      <c r="E44" s="13">
        <v>411103</v>
      </c>
      <c r="G44" s="20">
        <v>171</v>
      </c>
      <c r="H44" s="77"/>
      <c r="I44" s="1" t="s">
        <v>183</v>
      </c>
      <c r="J44" s="31" t="s">
        <v>184</v>
      </c>
      <c r="K44" s="32">
        <f t="shared" si="5"/>
        <v>411103</v>
      </c>
      <c r="L44" s="31" t="s">
        <v>185</v>
      </c>
      <c r="M44" s="33">
        <f t="shared" si="6"/>
        <v>171</v>
      </c>
      <c r="O44" s="31" t="s">
        <v>187</v>
      </c>
      <c r="P44" s="31" t="s">
        <v>188</v>
      </c>
      <c r="Q44" s="31" t="s">
        <v>187</v>
      </c>
      <c r="R44" s="1" t="str">
        <f t="shared" si="2"/>
        <v>ACU-041-411103-63101503-171--000-0000-000</v>
      </c>
    </row>
    <row r="45" spans="2:18" x14ac:dyDescent="0.35">
      <c r="B45" s="28" t="s">
        <v>161</v>
      </c>
      <c r="C45" s="15" t="s">
        <v>98</v>
      </c>
      <c r="D45" s="16" t="s">
        <v>162</v>
      </c>
      <c r="E45" s="17">
        <v>426411</v>
      </c>
      <c r="G45" s="21">
        <v>996</v>
      </c>
      <c r="H45" s="78" t="s">
        <v>163</v>
      </c>
      <c r="I45" s="1" t="s">
        <v>183</v>
      </c>
      <c r="J45" s="31" t="s">
        <v>184</v>
      </c>
      <c r="K45" s="32">
        <f t="shared" si="5"/>
        <v>426411</v>
      </c>
      <c r="L45" s="31" t="s">
        <v>185</v>
      </c>
      <c r="M45" s="33">
        <f t="shared" si="6"/>
        <v>996</v>
      </c>
      <c r="O45" s="31" t="s">
        <v>187</v>
      </c>
      <c r="P45" s="31" t="s">
        <v>188</v>
      </c>
      <c r="Q45" s="31" t="s">
        <v>187</v>
      </c>
      <c r="R45" s="1" t="str">
        <f t="shared" si="2"/>
        <v>ACU-041-426411-63101503-996--000-0000-000</v>
      </c>
    </row>
    <row r="46" spans="2:18" ht="25" x14ac:dyDescent="0.35">
      <c r="B46" s="14" t="s">
        <v>164</v>
      </c>
      <c r="C46" s="29" t="s">
        <v>165</v>
      </c>
      <c r="D46" s="13" t="s">
        <v>166</v>
      </c>
      <c r="E46" s="13">
        <v>431001</v>
      </c>
      <c r="G46" s="21">
        <v>996</v>
      </c>
      <c r="H46" s="79"/>
      <c r="I46" s="1" t="s">
        <v>183</v>
      </c>
      <c r="J46" s="31" t="s">
        <v>184</v>
      </c>
      <c r="K46" s="32">
        <f t="shared" si="5"/>
        <v>431001</v>
      </c>
      <c r="L46" s="31" t="s">
        <v>185</v>
      </c>
      <c r="M46" s="33">
        <f t="shared" si="6"/>
        <v>996</v>
      </c>
      <c r="O46" s="31" t="s">
        <v>187</v>
      </c>
      <c r="P46" s="31" t="s">
        <v>188</v>
      </c>
      <c r="Q46" s="31" t="s">
        <v>187</v>
      </c>
      <c r="R46" s="1" t="str">
        <f t="shared" si="2"/>
        <v>ACU-041-431001-63101503-996--000-0000-000</v>
      </c>
    </row>
    <row r="47" spans="2:18" x14ac:dyDescent="0.35">
      <c r="B47" s="14" t="s">
        <v>167</v>
      </c>
      <c r="C47" s="29" t="s">
        <v>168</v>
      </c>
      <c r="D47" s="13" t="s">
        <v>169</v>
      </c>
      <c r="E47" s="13">
        <v>460012</v>
      </c>
      <c r="G47" s="21">
        <v>996</v>
      </c>
      <c r="H47" s="79"/>
      <c r="I47" s="1" t="s">
        <v>183</v>
      </c>
      <c r="J47" s="31" t="s">
        <v>184</v>
      </c>
      <c r="K47" s="32">
        <f t="shared" si="5"/>
        <v>460012</v>
      </c>
      <c r="L47" s="31" t="s">
        <v>185</v>
      </c>
      <c r="M47" s="33">
        <f t="shared" si="6"/>
        <v>996</v>
      </c>
      <c r="N47" s="1" t="s">
        <v>192</v>
      </c>
      <c r="O47" s="31" t="s">
        <v>187</v>
      </c>
      <c r="P47" s="31" t="s">
        <v>188</v>
      </c>
      <c r="Q47" s="31" t="s">
        <v>187</v>
      </c>
      <c r="R47" s="1" t="str">
        <f t="shared" si="2"/>
        <v>ACU-041-460012-63101503-996-AA-000-0000-000</v>
      </c>
    </row>
    <row r="48" spans="2:18" x14ac:dyDescent="0.35">
      <c r="B48" s="14" t="s">
        <v>170</v>
      </c>
      <c r="C48" s="29" t="s">
        <v>171</v>
      </c>
      <c r="D48" s="13" t="s">
        <v>172</v>
      </c>
      <c r="E48" s="13">
        <v>461401</v>
      </c>
      <c r="G48" s="21">
        <v>996</v>
      </c>
      <c r="H48" s="79"/>
      <c r="I48" s="1" t="s">
        <v>183</v>
      </c>
      <c r="J48" s="31" t="s">
        <v>184</v>
      </c>
      <c r="K48" s="32">
        <f t="shared" si="5"/>
        <v>461401</v>
      </c>
      <c r="L48" s="31" t="s">
        <v>185</v>
      </c>
      <c r="M48" s="33">
        <f t="shared" si="6"/>
        <v>996</v>
      </c>
      <c r="O48" s="31" t="s">
        <v>187</v>
      </c>
      <c r="P48" s="31" t="s">
        <v>188</v>
      </c>
      <c r="Q48" s="31" t="s">
        <v>187</v>
      </c>
      <c r="R48" s="1" t="str">
        <f t="shared" si="2"/>
        <v>ACU-041-461401-63101503-996--000-0000-000</v>
      </c>
    </row>
    <row r="49" spans="2:18" x14ac:dyDescent="0.35">
      <c r="B49" s="14" t="s">
        <v>173</v>
      </c>
      <c r="C49" s="29" t="s">
        <v>174</v>
      </c>
      <c r="D49" s="13" t="s">
        <v>175</v>
      </c>
      <c r="E49" s="13">
        <v>470401</v>
      </c>
      <c r="G49" s="21">
        <v>996</v>
      </c>
      <c r="H49" s="79"/>
      <c r="I49" s="1" t="s">
        <v>183</v>
      </c>
      <c r="J49" s="31" t="s">
        <v>184</v>
      </c>
      <c r="K49" s="32">
        <f t="shared" si="5"/>
        <v>470401</v>
      </c>
      <c r="L49" s="31" t="s">
        <v>185</v>
      </c>
      <c r="M49" s="33">
        <f t="shared" si="6"/>
        <v>996</v>
      </c>
      <c r="N49" s="1" t="s">
        <v>192</v>
      </c>
      <c r="O49" s="31" t="s">
        <v>187</v>
      </c>
      <c r="P49" s="31" t="s">
        <v>188</v>
      </c>
      <c r="Q49" s="31" t="s">
        <v>187</v>
      </c>
      <c r="R49" s="1" t="str">
        <f t="shared" si="2"/>
        <v>ACU-041-470401-63101503-996-AA-000-0000-000</v>
      </c>
    </row>
    <row r="50" spans="2:18" x14ac:dyDescent="0.35">
      <c r="B50" s="14" t="s">
        <v>176</v>
      </c>
      <c r="C50" s="29" t="s">
        <v>177</v>
      </c>
      <c r="D50" s="13" t="s">
        <v>178</v>
      </c>
      <c r="E50" s="13">
        <v>470402</v>
      </c>
      <c r="G50" s="21">
        <v>996</v>
      </c>
      <c r="H50" s="80"/>
      <c r="I50" s="1" t="s">
        <v>183</v>
      </c>
      <c r="J50" s="31" t="s">
        <v>184</v>
      </c>
      <c r="K50" s="32">
        <f t="shared" si="5"/>
        <v>470402</v>
      </c>
      <c r="L50" s="31" t="s">
        <v>185</v>
      </c>
      <c r="M50" s="33">
        <f t="shared" si="6"/>
        <v>996</v>
      </c>
      <c r="O50" s="31" t="s">
        <v>187</v>
      </c>
      <c r="P50" s="31" t="s">
        <v>188</v>
      </c>
      <c r="Q50" s="31" t="s">
        <v>187</v>
      </c>
      <c r="R50" s="1" t="str">
        <f t="shared" si="2"/>
        <v>ACU-041-470402-63101503-996--000-0000-000</v>
      </c>
    </row>
    <row r="51" spans="2:18" x14ac:dyDescent="0.35">
      <c r="B51" s="30"/>
    </row>
    <row r="52" spans="2:18" x14ac:dyDescent="0.35">
      <c r="B52" s="30"/>
    </row>
  </sheetData>
  <mergeCells count="6">
    <mergeCell ref="H42:H44"/>
    <mergeCell ref="H45:H50"/>
    <mergeCell ref="B1:H1"/>
    <mergeCell ref="B2:H2"/>
    <mergeCell ref="H5:H17"/>
    <mergeCell ref="H23:H33"/>
  </mergeCells>
  <printOptions horizontalCentered="1"/>
  <pageMargins left="0.31496062992125984" right="0.31496062992125984" top="0.35433070866141736" bottom="0.35433070866141736" header="0.31496062992125984" footer="0.31496062992125984"/>
  <pageSetup scale="88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</vt:lpstr>
      <vt:lpstr>Opciones</vt:lpstr>
      <vt:lpstr>Estructura cecos Jul2024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Martinez Alavez</dc:creator>
  <cp:lastModifiedBy>Monica Martinez Alavez</cp:lastModifiedBy>
  <cp:lastPrinted>2024-09-11T16:34:35Z</cp:lastPrinted>
  <dcterms:created xsi:type="dcterms:W3CDTF">2024-09-10T22:31:19Z</dcterms:created>
  <dcterms:modified xsi:type="dcterms:W3CDTF">2024-12-03T19:37:24Z</dcterms:modified>
</cp:coreProperties>
</file>