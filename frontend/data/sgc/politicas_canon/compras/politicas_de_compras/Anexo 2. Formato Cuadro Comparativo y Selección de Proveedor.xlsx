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01727\Documents\COMPRAS YB\POLITICA COMPRAS Y OTRAS\POLITICA DE COMPRAS\2024\"/>
    </mc:Choice>
  </mc:AlternateContent>
  <xr:revisionPtr revIDLastSave="0" documentId="13_ncr:1_{61CEFE61-A9AA-4538-823D-0EC9469001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to Comparativo propuesta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5" l="1"/>
  <c r="H35" i="5"/>
  <c r="G35" i="5"/>
  <c r="F13" i="5"/>
  <c r="F15" i="5" s="1"/>
  <c r="H13" i="5"/>
  <c r="H15" i="5" s="1"/>
  <c r="H16" i="5" l="1"/>
  <c r="F16" i="5"/>
  <c r="J14" i="5"/>
  <c r="J13" i="5"/>
  <c r="J15" i="5" l="1"/>
  <c r="J1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tc={5FB07985-1605-4BF1-95FB-85ED932406C8}</author>
    <author>tc={6383A35B-7D55-408B-B6D1-26A93015D4D8}</author>
    <author>tc={1745CFE3-9856-46B3-AE74-5A6D6BB7FC34}</author>
    <author>tc={7FB89CD3-AAE4-4140-A3D0-F760D82E86AE}</author>
  </authors>
  <commentList>
    <comment ref="C27" authorId="0" shapeId="0" xr:uid="{5FB07985-1605-4BF1-95FB-85ED932406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Favor de asignar importancia del 1 al 5, siendo el 1 el criterio más importante y el 5 el menos importante</t>
      </text>
    </comment>
    <comment ref="G27" authorId="1" shapeId="0" xr:uid="{6383A35B-7D55-408B-B6D1-26A93015D4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Favor de clasificar al proveedor en cuanto a cada criterio del 1 al 5, siendo el 1 la mejor puntuación y el 5 la peor calificación</t>
      </text>
    </comment>
    <comment ref="H27" authorId="2" shapeId="0" xr:uid="{1745CFE3-9856-46B3-AE74-5A6D6BB7FC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Favor de clasificar al proveedor en cuanto a cada criterio del 1 al 5, siendo el 1 la mejor puntuación y el 5 la peor calificación</t>
      </text>
    </comment>
    <comment ref="I27" authorId="3" shapeId="0" xr:uid="{7FB89CD3-AAE4-4140-A3D0-F760D82E86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Favor de clasificar al proveedor en cuanto a cada criterio del 1 al 5, siendo el 1 la mejor puntuación y el 5 la peor calificación</t>
      </text>
    </comment>
  </commentList>
</comments>
</file>

<file path=xl/sharedStrings.xml><?xml version="1.0" encoding="utf-8"?>
<sst xmlns="http://schemas.openxmlformats.org/spreadsheetml/2006/main" count="44" uniqueCount="40">
  <si>
    <t>TOTAL</t>
  </si>
  <si>
    <t>DÍAS DE CRÉDITO</t>
  </si>
  <si>
    <t>Partida</t>
  </si>
  <si>
    <t>Descripción</t>
  </si>
  <si>
    <t>Unidad</t>
  </si>
  <si>
    <t>Cantidad</t>
  </si>
  <si>
    <t>Precio unitario</t>
  </si>
  <si>
    <t>Total</t>
  </si>
  <si>
    <t>Precio Unitario</t>
  </si>
  <si>
    <t>IVA</t>
  </si>
  <si>
    <t>Descuento</t>
  </si>
  <si>
    <t>Terminos de pago</t>
  </si>
  <si>
    <t>Gastos transporte</t>
  </si>
  <si>
    <t>Gastos embalaje</t>
  </si>
  <si>
    <t>Vigencia de cotización</t>
  </si>
  <si>
    <t>Sub total</t>
  </si>
  <si>
    <t>Calidad</t>
  </si>
  <si>
    <t>Tiempo de garantía</t>
  </si>
  <si>
    <t>Tiempo de entrega</t>
  </si>
  <si>
    <t>Implementación</t>
  </si>
  <si>
    <t>Devolución de excedente</t>
  </si>
  <si>
    <t>Servicios Post venta</t>
  </si>
  <si>
    <t>Fecha:</t>
  </si>
  <si>
    <t>Nombre del proyecto:</t>
  </si>
  <si>
    <t>Proveedor 1</t>
  </si>
  <si>
    <t>Proveedor 2</t>
  </si>
  <si>
    <t>Proveedor 3</t>
  </si>
  <si>
    <t>Cuadro comparativo</t>
  </si>
  <si>
    <t>Otros (instalación, etc.)</t>
  </si>
  <si>
    <t>Valor agregado (servicios o aditamentos sin costo)</t>
  </si>
  <si>
    <t>*Puntaje: 1 = Excelente, 2 = Bueno, 3 = Regular, 4 = Con deficiencias, 5 = Malo</t>
  </si>
  <si>
    <t>Especificar criterios calificados</t>
  </si>
  <si>
    <t>Criterio evaluado</t>
  </si>
  <si>
    <t>Importancia del Criterio*</t>
  </si>
  <si>
    <t>Puntaje* Proveedor 1</t>
  </si>
  <si>
    <t>Puntaje* Proveedor 2</t>
  </si>
  <si>
    <t>Puntaje* Proveedor 3</t>
  </si>
  <si>
    <t>Tiempos de respuesta 
(Service Level, tiempos de atención)</t>
  </si>
  <si>
    <t>Selección de Proveedor:</t>
  </si>
  <si>
    <t>Formato: Cuadro Comparativo y Selección de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</si>
</sst>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6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666666"/>
      <name val="Inherit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indexed="64"/>
      </bottom>
      <diagonal/>
    </border>
    <border>
      <left/>
      <right/>
      <top style="double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auto="1"/>
      </left>
      <right/>
      <top/>
      <bottom style="double">
        <color indexed="64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6" fillId="0" borderId="0"/>
    <xf numFmtId="44" fontId="6" fillId="0" borderId="0" applyFont="0" applyFill="0" applyBorder="0" applyAlignment="0" applyProtection="0"/>
  </cellStyleXfs>
  <cellXfs count="109">
    <xf numFmtId="0" fontId="0" fillId="0" borderId="0" xfId="0"/>
    <xf numFmtId="0" fontId="6" fillId="0" borderId="0" xfId="1"/>
    <xf numFmtId="0" fontId="6" fillId="0" borderId="0" xfId="1" applyAlignment="1">
      <alignment textRotation="45"/>
    </xf>
    <xf numFmtId="0" fontId="11" fillId="0" borderId="0" xfId="1" applyFont="1" applyAlignment="1">
      <alignment horizontal="left" indent="1"/>
    </xf>
    <xf numFmtId="0" fontId="6" fillId="0" borderId="1" xfId="1" applyBorder="1"/>
    <xf numFmtId="0" fontId="9" fillId="0" borderId="5" xfId="1" applyFont="1" applyBorder="1" applyAlignment="1">
      <alignment horizontal="center" vertical="center"/>
    </xf>
    <xf numFmtId="44" fontId="6" fillId="3" borderId="9" xfId="1" applyNumberFormat="1" applyFill="1" applyBorder="1" applyAlignment="1">
      <alignment horizontal="center" vertical="center"/>
    </xf>
    <xf numFmtId="0" fontId="5" fillId="0" borderId="1" xfId="1" applyFont="1" applyBorder="1"/>
    <xf numFmtId="0" fontId="9" fillId="4" borderId="4" xfId="1" applyFont="1" applyFill="1" applyBorder="1" applyAlignment="1">
      <alignment horizontal="center" vertical="center"/>
    </xf>
    <xf numFmtId="0" fontId="14" fillId="0" borderId="0" xfId="1" applyFont="1"/>
    <xf numFmtId="44" fontId="6" fillId="0" borderId="25" xfId="1" applyNumberFormat="1" applyBorder="1" applyAlignment="1">
      <alignment horizontal="center" vertical="center"/>
    </xf>
    <xf numFmtId="0" fontId="6" fillId="0" borderId="0" xfId="1" applyAlignment="1">
      <alignment vertical="center"/>
    </xf>
    <xf numFmtId="0" fontId="8" fillId="2" borderId="0" xfId="1" applyFont="1" applyFill="1" applyAlignment="1">
      <alignment vertical="center"/>
    </xf>
    <xf numFmtId="0" fontId="8" fillId="2" borderId="0" xfId="1" applyFont="1" applyFill="1" applyAlignment="1">
      <alignment vertical="center" wrapText="1"/>
    </xf>
    <xf numFmtId="0" fontId="11" fillId="0" borderId="0" xfId="1" applyFont="1" applyAlignment="1">
      <alignment horizontal="left" vertical="center"/>
    </xf>
    <xf numFmtId="0" fontId="9" fillId="0" borderId="0" xfId="1" applyFont="1" applyAlignment="1">
      <alignment horizontal="right"/>
    </xf>
    <xf numFmtId="0" fontId="9" fillId="4" borderId="29" xfId="1" applyFont="1" applyFill="1" applyBorder="1" applyAlignment="1">
      <alignment horizontal="center" vertical="center"/>
    </xf>
    <xf numFmtId="0" fontId="1" fillId="0" borderId="1" xfId="1" applyFont="1" applyBorder="1" applyAlignment="1">
      <alignment vertical="center" wrapText="1"/>
    </xf>
    <xf numFmtId="0" fontId="6" fillId="0" borderId="1" xfId="1" applyBorder="1" applyAlignment="1">
      <alignment vertical="center"/>
    </xf>
    <xf numFmtId="0" fontId="5" fillId="0" borderId="1" xfId="1" applyFont="1" applyBorder="1" applyAlignment="1">
      <alignment vertical="center"/>
    </xf>
    <xf numFmtId="0" fontId="10" fillId="0" borderId="0" xfId="1" applyFont="1" applyAlignment="1">
      <alignment vertical="center"/>
    </xf>
    <xf numFmtId="44" fontId="0" fillId="0" borderId="0" xfId="2" applyFont="1" applyAlignment="1">
      <alignment vertical="center"/>
    </xf>
    <xf numFmtId="0" fontId="1" fillId="0" borderId="0" xfId="1" applyFont="1" applyAlignment="1">
      <alignment vertical="center"/>
    </xf>
    <xf numFmtId="0" fontId="6" fillId="0" borderId="0" xfId="1" applyAlignment="1">
      <alignment vertical="center" textRotation="45"/>
    </xf>
    <xf numFmtId="0" fontId="9" fillId="4" borderId="3" xfId="1" applyFont="1" applyFill="1" applyBorder="1" applyAlignment="1">
      <alignment horizontal="center" vertical="center"/>
    </xf>
    <xf numFmtId="0" fontId="9" fillId="4" borderId="20" xfId="1" applyFont="1" applyFill="1" applyBorder="1" applyAlignment="1">
      <alignment horizontal="center" vertical="center"/>
    </xf>
    <xf numFmtId="0" fontId="9" fillId="4" borderId="28" xfId="1" applyFont="1" applyFill="1" applyBorder="1" applyAlignment="1">
      <alignment horizontal="center" vertical="center"/>
    </xf>
    <xf numFmtId="0" fontId="6" fillId="3" borderId="5" xfId="1" applyFill="1" applyBorder="1" applyAlignment="1">
      <alignment horizontal="center" vertical="center"/>
    </xf>
    <xf numFmtId="0" fontId="3" fillId="0" borderId="5" xfId="1" applyFont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0" fontId="6" fillId="0" borderId="5" xfId="1" applyBorder="1" applyAlignment="1">
      <alignment horizontal="center" vertical="center"/>
    </xf>
    <xf numFmtId="44" fontId="6" fillId="3" borderId="5" xfId="1" applyNumberFormat="1" applyFill="1" applyBorder="1" applyAlignment="1">
      <alignment vertical="center"/>
    </xf>
    <xf numFmtId="44" fontId="6" fillId="0" borderId="5" xfId="1" applyNumberFormat="1" applyBorder="1" applyAlignment="1">
      <alignment vertical="center"/>
    </xf>
    <xf numFmtId="44" fontId="6" fillId="0" borderId="21" xfId="1" applyNumberFormat="1" applyBorder="1" applyAlignment="1">
      <alignment vertical="center"/>
    </xf>
    <xf numFmtId="44" fontId="6" fillId="3" borderId="30" xfId="1" applyNumberFormat="1" applyFill="1" applyBorder="1" applyAlignment="1">
      <alignment vertical="center"/>
    </xf>
    <xf numFmtId="44" fontId="6" fillId="3" borderId="31" xfId="1" applyNumberFormat="1" applyFill="1" applyBorder="1" applyAlignment="1">
      <alignment vertical="center"/>
    </xf>
    <xf numFmtId="44" fontId="6" fillId="0" borderId="0" xfId="1" applyNumberFormat="1" applyAlignment="1">
      <alignment vertical="center"/>
    </xf>
    <xf numFmtId="44" fontId="5" fillId="3" borderId="5" xfId="1" applyNumberFormat="1" applyFont="1" applyFill="1" applyBorder="1" applyAlignment="1">
      <alignment vertical="center"/>
    </xf>
    <xf numFmtId="0" fontId="4" fillId="0" borderId="5" xfId="1" applyFont="1" applyBorder="1" applyAlignment="1">
      <alignment vertical="center"/>
    </xf>
    <xf numFmtId="44" fontId="6" fillId="5" borderId="5" xfId="1" applyNumberFormat="1" applyFill="1" applyBorder="1" applyAlignment="1">
      <alignment vertical="center"/>
    </xf>
    <xf numFmtId="0" fontId="6" fillId="0" borderId="5" xfId="1" applyBorder="1" applyAlignment="1">
      <alignment vertical="center"/>
    </xf>
    <xf numFmtId="0" fontId="6" fillId="3" borderId="5" xfId="1" applyFill="1" applyBorder="1" applyAlignment="1">
      <alignment vertical="center"/>
    </xf>
    <xf numFmtId="0" fontId="6" fillId="0" borderId="7" xfId="1" applyBorder="1" applyAlignment="1">
      <alignment vertical="center"/>
    </xf>
    <xf numFmtId="0" fontId="6" fillId="3" borderId="6" xfId="1" applyFill="1" applyBorder="1" applyAlignment="1">
      <alignment vertical="center"/>
    </xf>
    <xf numFmtId="44" fontId="6" fillId="3" borderId="6" xfId="1" applyNumberFormat="1" applyFill="1" applyBorder="1" applyAlignment="1">
      <alignment vertical="center"/>
    </xf>
    <xf numFmtId="44" fontId="6" fillId="0" borderId="6" xfId="1" applyNumberFormat="1" applyBorder="1" applyAlignment="1">
      <alignment vertical="center"/>
    </xf>
    <xf numFmtId="44" fontId="6" fillId="0" borderId="22" xfId="1" applyNumberFormat="1" applyBorder="1" applyAlignment="1">
      <alignment vertical="center"/>
    </xf>
    <xf numFmtId="44" fontId="6" fillId="3" borderId="32" xfId="1" applyNumberFormat="1" applyFill="1" applyBorder="1" applyAlignment="1">
      <alignment vertical="center"/>
    </xf>
    <xf numFmtId="44" fontId="6" fillId="3" borderId="33" xfId="1" applyNumberFormat="1" applyFill="1" applyBorder="1" applyAlignment="1">
      <alignment vertical="center"/>
    </xf>
    <xf numFmtId="0" fontId="6" fillId="0" borderId="8" xfId="1" applyBorder="1" applyAlignment="1">
      <alignment vertical="center"/>
    </xf>
    <xf numFmtId="44" fontId="6" fillId="3" borderId="28" xfId="1" applyNumberFormat="1" applyFill="1" applyBorder="1" applyAlignment="1">
      <alignment vertical="center"/>
    </xf>
    <xf numFmtId="44" fontId="6" fillId="3" borderId="35" xfId="1" applyNumberFormat="1" applyFill="1" applyBorder="1" applyAlignment="1">
      <alignment vertical="center"/>
    </xf>
    <xf numFmtId="44" fontId="6" fillId="0" borderId="9" xfId="1" applyNumberFormat="1" applyBorder="1" applyAlignment="1">
      <alignment horizontal="center" vertical="center"/>
    </xf>
    <xf numFmtId="44" fontId="6" fillId="3" borderId="37" xfId="1" applyNumberFormat="1" applyFill="1" applyBorder="1" applyAlignment="1">
      <alignment vertical="center"/>
    </xf>
    <xf numFmtId="44" fontId="6" fillId="3" borderId="38" xfId="1" applyNumberFormat="1" applyFill="1" applyBorder="1" applyAlignment="1">
      <alignment vertical="center"/>
    </xf>
    <xf numFmtId="0" fontId="9" fillId="0" borderId="5" xfId="1" applyFont="1" applyBorder="1" applyAlignment="1">
      <alignment horizontal="right" vertical="center"/>
    </xf>
    <xf numFmtId="0" fontId="6" fillId="0" borderId="21" xfId="1" applyBorder="1" applyAlignment="1">
      <alignment vertical="center"/>
    </xf>
    <xf numFmtId="0" fontId="6" fillId="3" borderId="30" xfId="1" applyFill="1" applyBorder="1" applyAlignment="1">
      <alignment vertical="center"/>
    </xf>
    <xf numFmtId="0" fontId="6" fillId="3" borderId="31" xfId="1" applyFill="1" applyBorder="1" applyAlignment="1">
      <alignment vertical="center"/>
    </xf>
    <xf numFmtId="0" fontId="6" fillId="3" borderId="32" xfId="1" applyFill="1" applyBorder="1" applyAlignment="1">
      <alignment vertical="center"/>
    </xf>
    <xf numFmtId="0" fontId="6" fillId="3" borderId="33" xfId="1" applyFill="1" applyBorder="1" applyAlignment="1">
      <alignment vertical="center"/>
    </xf>
    <xf numFmtId="0" fontId="6" fillId="3" borderId="42" xfId="1" applyFill="1" applyBorder="1" applyAlignment="1">
      <alignment vertical="center"/>
    </xf>
    <xf numFmtId="0" fontId="6" fillId="3" borderId="43" xfId="1" applyFill="1" applyBorder="1" applyAlignment="1">
      <alignment vertical="center"/>
    </xf>
    <xf numFmtId="0" fontId="8" fillId="2" borderId="0" xfId="1" applyFont="1" applyFill="1" applyAlignment="1">
      <alignment horizontal="center" vertical="center" wrapText="1"/>
    </xf>
    <xf numFmtId="44" fontId="6" fillId="4" borderId="39" xfId="1" applyNumberFormat="1" applyFill="1" applyBorder="1" applyAlignment="1">
      <alignment horizontal="center" vertical="center"/>
    </xf>
    <xf numFmtId="44" fontId="6" fillId="4" borderId="40" xfId="1" applyNumberFormat="1" applyFill="1" applyBorder="1" applyAlignment="1">
      <alignment horizontal="center" vertical="center"/>
    </xf>
    <xf numFmtId="44" fontId="6" fillId="4" borderId="34" xfId="1" applyNumberFormat="1" applyFill="1" applyBorder="1" applyAlignment="1">
      <alignment horizontal="center" vertical="center"/>
    </xf>
    <xf numFmtId="44" fontId="6" fillId="4" borderId="41" xfId="1" applyNumberFormat="1" applyFill="1" applyBorder="1" applyAlignment="1">
      <alignment horizontal="center" vertical="center"/>
    </xf>
    <xf numFmtId="0" fontId="9" fillId="3" borderId="15" xfId="1" applyFont="1" applyFill="1" applyBorder="1" applyAlignment="1">
      <alignment horizontal="center" vertical="center" textRotation="45" wrapText="1"/>
    </xf>
    <xf numFmtId="0" fontId="9" fillId="3" borderId="8" xfId="1" applyFont="1" applyFill="1" applyBorder="1" applyAlignment="1">
      <alignment horizontal="center" vertical="center" textRotation="45" wrapText="1"/>
    </xf>
    <xf numFmtId="0" fontId="9" fillId="0" borderId="11" xfId="1" applyFont="1" applyBorder="1" applyAlignment="1">
      <alignment horizontal="center" vertical="center" textRotation="45" wrapText="1"/>
    </xf>
    <xf numFmtId="0" fontId="9" fillId="0" borderId="12" xfId="1" applyFont="1" applyBorder="1" applyAlignment="1">
      <alignment horizontal="center" vertical="center" textRotation="45" wrapText="1"/>
    </xf>
    <xf numFmtId="0" fontId="9" fillId="3" borderId="26" xfId="1" applyFont="1" applyFill="1" applyBorder="1" applyAlignment="1">
      <alignment horizontal="center" vertical="center" textRotation="45" wrapText="1"/>
    </xf>
    <xf numFmtId="0" fontId="9" fillId="3" borderId="27" xfId="1" applyFont="1" applyFill="1" applyBorder="1" applyAlignment="1">
      <alignment horizontal="center" vertical="center" textRotation="45" wrapText="1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44" fontId="6" fillId="3" borderId="34" xfId="1" applyNumberFormat="1" applyFill="1" applyBorder="1" applyAlignment="1">
      <alignment horizontal="center" vertical="center"/>
    </xf>
    <xf numFmtId="44" fontId="6" fillId="3" borderId="36" xfId="1" applyNumberFormat="1" applyFill="1" applyBorder="1" applyAlignment="1">
      <alignment horizontal="center" vertical="center"/>
    </xf>
    <xf numFmtId="0" fontId="13" fillId="2" borderId="0" xfId="1" applyFont="1" applyFill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44" fontId="6" fillId="3" borderId="13" xfId="1" applyNumberFormat="1" applyFill="1" applyBorder="1" applyAlignment="1">
      <alignment horizontal="center" vertical="center"/>
    </xf>
    <xf numFmtId="44" fontId="6" fillId="3" borderId="14" xfId="1" applyNumberFormat="1" applyFill="1" applyBorder="1" applyAlignment="1">
      <alignment horizontal="center" vertical="center"/>
    </xf>
    <xf numFmtId="44" fontId="6" fillId="0" borderId="13" xfId="1" applyNumberFormat="1" applyBorder="1" applyAlignment="1">
      <alignment horizontal="center" vertical="center"/>
    </xf>
    <xf numFmtId="44" fontId="6" fillId="0" borderId="14" xfId="1" applyNumberFormat="1" applyBorder="1" applyAlignment="1">
      <alignment horizontal="center" vertical="center"/>
    </xf>
    <xf numFmtId="44" fontId="6" fillId="0" borderId="23" xfId="1" applyNumberFormat="1" applyBorder="1" applyAlignment="1">
      <alignment horizontal="center" vertical="center"/>
    </xf>
    <xf numFmtId="44" fontId="6" fillId="0" borderId="24" xfId="1" applyNumberFormat="1" applyBorder="1" applyAlignment="1">
      <alignment horizontal="center" vertical="center"/>
    </xf>
    <xf numFmtId="0" fontId="9" fillId="4" borderId="9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44" fontId="6" fillId="4" borderId="9" xfId="1" applyNumberFormat="1" applyFill="1" applyBorder="1" applyAlignment="1">
      <alignment horizontal="center" vertical="center"/>
    </xf>
    <xf numFmtId="44" fontId="6" fillId="4" borderId="4" xfId="1" applyNumberFormat="1" applyFill="1" applyBorder="1" applyAlignment="1">
      <alignment horizontal="center" vertical="center"/>
    </xf>
    <xf numFmtId="44" fontId="6" fillId="4" borderId="25" xfId="1" applyNumberFormat="1" applyFill="1" applyBorder="1" applyAlignment="1">
      <alignment horizontal="center" vertical="center"/>
    </xf>
    <xf numFmtId="44" fontId="6" fillId="4" borderId="20" xfId="1" applyNumberFormat="1" applyFill="1" applyBorder="1" applyAlignment="1">
      <alignment horizontal="center" vertical="center"/>
    </xf>
    <xf numFmtId="0" fontId="6" fillId="0" borderId="49" xfId="1" applyBorder="1" applyAlignment="1">
      <alignment horizontal="center" vertical="center"/>
    </xf>
    <xf numFmtId="0" fontId="6" fillId="0" borderId="50" xfId="1" applyBorder="1" applyAlignment="1">
      <alignment horizontal="center" vertical="center"/>
    </xf>
    <xf numFmtId="0" fontId="6" fillId="0" borderId="52" xfId="1" applyBorder="1" applyAlignment="1">
      <alignment horizontal="center" vertical="center"/>
    </xf>
    <xf numFmtId="0" fontId="6" fillId="0" borderId="47" xfId="1" applyBorder="1" applyAlignment="1">
      <alignment horizontal="center" vertical="center"/>
    </xf>
    <xf numFmtId="0" fontId="6" fillId="0" borderId="48" xfId="1" applyBorder="1" applyAlignment="1">
      <alignment horizontal="center" vertical="center"/>
    </xf>
    <xf numFmtId="0" fontId="6" fillId="0" borderId="53" xfId="1" applyBorder="1" applyAlignment="1">
      <alignment horizontal="center" vertical="center"/>
    </xf>
    <xf numFmtId="8" fontId="12" fillId="0" borderId="46" xfId="1" applyNumberFormat="1" applyFont="1" applyBorder="1" applyAlignment="1">
      <alignment horizontal="center" vertical="center"/>
    </xf>
    <xf numFmtId="8" fontId="12" fillId="0" borderId="10" xfId="1" applyNumberFormat="1" applyFont="1" applyBorder="1" applyAlignment="1">
      <alignment horizontal="center" vertical="center"/>
    </xf>
    <xf numFmtId="8" fontId="12" fillId="0" borderId="54" xfId="1" applyNumberFormat="1" applyFont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6" fillId="0" borderId="44" xfId="1" applyBorder="1" applyAlignment="1">
      <alignment horizontal="center"/>
    </xf>
    <xf numFmtId="0" fontId="6" fillId="0" borderId="45" xfId="1" applyBorder="1" applyAlignment="1">
      <alignment horizontal="center"/>
    </xf>
    <xf numFmtId="0" fontId="6" fillId="0" borderId="51" xfId="1" applyBorder="1" applyAlignment="1">
      <alignment horizontal="center"/>
    </xf>
    <xf numFmtId="0" fontId="9" fillId="0" borderId="0" xfId="1" applyFont="1" applyAlignment="1">
      <alignment vertical="center"/>
    </xf>
    <xf numFmtId="0" fontId="2" fillId="0" borderId="0" xfId="1" applyFont="1" applyAlignment="1">
      <alignment vertical="center"/>
    </xf>
  </cellXfs>
  <cellStyles count="3">
    <cellStyle name="Currency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76780</xdr:rowOff>
    </xdr:from>
    <xdr:to>
      <xdr:col>1</xdr:col>
      <xdr:colOff>1231900</xdr:colOff>
      <xdr:row>1</xdr:row>
      <xdr:rowOff>42435</xdr:rowOff>
    </xdr:to>
    <xdr:pic>
      <xdr:nvPicPr>
        <xdr:cNvPr id="2" name="Picture 1" descr="descarga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8358" t="19745" r="7201" b="19746"/>
        <a:stretch/>
      </xdr:blipFill>
      <xdr:spPr>
        <a:xfrm>
          <a:off x="171450" y="76780"/>
          <a:ext cx="1543050" cy="37205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olanda Burkhardt" id="{E4E8073B-544B-49C7-BDFD-ED2777BBFE07}" userId="S::J01727@canon.com.mx::8c17b164-fb9d-43f7-b3ca-79b6c6168cb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7" dT="2023-12-12T20:45:27.10" personId="{E4E8073B-544B-49C7-BDFD-ED2777BBFE07}" id="{5FB07985-1605-4BF1-95FB-85ED932406C8}">
    <text>Favor de asignar importancia del 1 al 5, siendo el 1 el criterio más importante y el 5 el menos importante</text>
  </threadedComment>
  <threadedComment ref="G27" dT="2023-12-12T20:38:45.12" personId="{E4E8073B-544B-49C7-BDFD-ED2777BBFE07}" id="{6383A35B-7D55-408B-B6D1-26A93015D4D8}">
    <text>Favor de clasificar al proveedor en cuanto a cada criterio del 1 al 5, siendo el 1 la mejor puntuación y el 5 la peor calificación</text>
  </threadedComment>
  <threadedComment ref="H27" dT="2023-12-12T20:38:45.12" personId="{E4E8073B-544B-49C7-BDFD-ED2777BBFE07}" id="{1745CFE3-9856-46B3-AE74-5A6D6BB7FC34}">
    <text>Favor de clasificar al proveedor en cuanto a cada criterio del 1 al 5, siendo el 1 la mejor puntuación y el 5 la peor calificación</text>
  </threadedComment>
  <threadedComment ref="I27" dT="2023-12-12T20:38:45.12" personId="{E4E8073B-544B-49C7-BDFD-ED2777BBFE07}" id="{7FB89CD3-AAE4-4140-A3D0-F760D82E86AE}">
    <text>Favor de clasificar al proveedor en cuanto a cada criterio del 1 al 5, siendo el 1 la mejor puntuación y el 5 la peor calificación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8"/>
  <sheetViews>
    <sheetView tabSelected="1" workbookViewId="0">
      <selection activeCell="D2" sqref="D2"/>
    </sheetView>
  </sheetViews>
  <sheetFormatPr baseColWidth="10" defaultColWidth="9" defaultRowHeight="14.5"/>
  <cols>
    <col min="1" max="1" width="7.59765625" style="1" bestFit="1" customWidth="1"/>
    <col min="2" max="2" width="45" style="1" bestFit="1" customWidth="1"/>
    <col min="3" max="3" width="10.09765625" style="1" bestFit="1" customWidth="1"/>
    <col min="4" max="4" width="21.296875" style="1" bestFit="1" customWidth="1"/>
    <col min="5" max="5" width="13.796875" style="1" customWidth="1"/>
    <col min="6" max="6" width="15" style="1" bestFit="1" customWidth="1"/>
    <col min="7" max="7" width="14.296875" style="1" customWidth="1"/>
    <col min="8" max="8" width="12" style="1" customWidth="1"/>
    <col min="9" max="9" width="18" style="1" bestFit="1" customWidth="1"/>
    <col min="10" max="10" width="15.59765625" style="1" bestFit="1" customWidth="1"/>
    <col min="11" max="12" width="9" style="1"/>
    <col min="13" max="13" width="10" style="1" bestFit="1" customWidth="1"/>
    <col min="14" max="16384" width="9" style="1"/>
  </cols>
  <sheetData>
    <row r="1" spans="1:13" ht="32.4" customHeight="1" thickBot="1">
      <c r="C1" s="108" t="s">
        <v>22</v>
      </c>
      <c r="E1" s="74" t="s">
        <v>23</v>
      </c>
      <c r="F1" s="75"/>
      <c r="G1" s="75"/>
      <c r="H1" s="75"/>
      <c r="I1" s="75"/>
      <c r="J1" s="76"/>
    </row>
    <row r="2" spans="1:13" ht="14.4" customHeight="1">
      <c r="F2" s="2"/>
      <c r="G2" s="2"/>
      <c r="I2" s="9" t="s">
        <v>39</v>
      </c>
    </row>
    <row r="3" spans="1:13" s="11" customFormat="1" ht="11.5" customHeight="1" thickBot="1">
      <c r="F3" s="23"/>
      <c r="G3" s="23"/>
    </row>
    <row r="4" spans="1:13" s="11" customFormat="1" ht="57.65" customHeight="1" thickTop="1" thickBot="1">
      <c r="A4" s="79" t="s">
        <v>27</v>
      </c>
      <c r="B4" s="79"/>
      <c r="C4" s="79"/>
      <c r="E4" s="68" t="s">
        <v>24</v>
      </c>
      <c r="F4" s="69"/>
      <c r="G4" s="70" t="s">
        <v>25</v>
      </c>
      <c r="H4" s="71"/>
      <c r="I4" s="72" t="s">
        <v>26</v>
      </c>
      <c r="J4" s="73"/>
    </row>
    <row r="5" spans="1:13" s="11" customFormat="1" ht="15" thickTop="1">
      <c r="A5" s="24" t="s">
        <v>2</v>
      </c>
      <c r="B5" s="24" t="s">
        <v>3</v>
      </c>
      <c r="C5" s="24" t="s">
        <v>4</v>
      </c>
      <c r="D5" s="24" t="s">
        <v>5</v>
      </c>
      <c r="E5" s="24" t="s">
        <v>6</v>
      </c>
      <c r="F5" s="24" t="s">
        <v>7</v>
      </c>
      <c r="G5" s="8" t="s">
        <v>8</v>
      </c>
      <c r="H5" s="25" t="s">
        <v>7</v>
      </c>
      <c r="I5" s="26" t="s">
        <v>6</v>
      </c>
      <c r="J5" s="16" t="s">
        <v>7</v>
      </c>
    </row>
    <row r="6" spans="1:13" s="11" customFormat="1">
      <c r="A6" s="27"/>
      <c r="B6" s="28"/>
      <c r="C6" s="29"/>
      <c r="D6" s="30"/>
      <c r="E6" s="31"/>
      <c r="F6" s="31"/>
      <c r="G6" s="32"/>
      <c r="H6" s="33"/>
      <c r="I6" s="34"/>
      <c r="J6" s="35"/>
      <c r="K6" s="20"/>
      <c r="M6" s="36"/>
    </row>
    <row r="7" spans="1:13" s="11" customFormat="1">
      <c r="A7" s="27"/>
      <c r="B7" s="28"/>
      <c r="C7" s="29"/>
      <c r="D7" s="30"/>
      <c r="E7" s="37"/>
      <c r="F7" s="31"/>
      <c r="G7" s="32"/>
      <c r="H7" s="33"/>
      <c r="I7" s="34"/>
      <c r="J7" s="35"/>
      <c r="K7" s="14"/>
    </row>
    <row r="8" spans="1:13" s="11" customFormat="1">
      <c r="A8" s="27"/>
      <c r="B8" s="38"/>
      <c r="C8" s="29"/>
      <c r="D8" s="30"/>
      <c r="E8" s="31"/>
      <c r="F8" s="31"/>
      <c r="G8" s="39"/>
      <c r="H8" s="33"/>
      <c r="I8" s="34"/>
      <c r="J8" s="35"/>
      <c r="K8" s="14"/>
    </row>
    <row r="9" spans="1:13" s="11" customFormat="1">
      <c r="A9" s="27"/>
      <c r="B9" s="38"/>
      <c r="C9" s="29"/>
      <c r="D9" s="30"/>
      <c r="E9" s="31"/>
      <c r="F9" s="31"/>
      <c r="G9" s="32"/>
      <c r="H9" s="33"/>
      <c r="I9" s="34"/>
      <c r="J9" s="35"/>
      <c r="K9" s="14"/>
    </row>
    <row r="10" spans="1:13" s="11" customFormat="1">
      <c r="A10" s="27"/>
      <c r="B10" s="40"/>
      <c r="C10" s="41"/>
      <c r="D10" s="30"/>
      <c r="E10" s="31"/>
      <c r="F10" s="31"/>
      <c r="G10" s="32"/>
      <c r="H10" s="33"/>
      <c r="I10" s="34"/>
      <c r="J10" s="35"/>
      <c r="K10" s="14"/>
    </row>
    <row r="11" spans="1:13" s="11" customFormat="1">
      <c r="A11" s="27"/>
      <c r="B11" s="40"/>
      <c r="C11" s="41"/>
      <c r="D11" s="30"/>
      <c r="E11" s="31"/>
      <c r="F11" s="31"/>
      <c r="G11" s="32"/>
      <c r="H11" s="33"/>
      <c r="I11" s="34"/>
      <c r="J11" s="35"/>
      <c r="K11" s="14"/>
    </row>
    <row r="12" spans="1:13" s="11" customFormat="1" ht="15" thickBot="1">
      <c r="A12" s="27"/>
      <c r="B12" s="42"/>
      <c r="C12" s="43"/>
      <c r="D12" s="30"/>
      <c r="E12" s="44"/>
      <c r="F12" s="44"/>
      <c r="G12" s="45"/>
      <c r="H12" s="46"/>
      <c r="I12" s="47"/>
      <c r="J12" s="48"/>
      <c r="K12" s="14"/>
    </row>
    <row r="13" spans="1:13" s="11" customFormat="1" ht="15" thickTop="1">
      <c r="A13" s="49"/>
      <c r="C13" s="49"/>
      <c r="D13" s="80" t="s">
        <v>15</v>
      </c>
      <c r="E13" s="82"/>
      <c r="F13" s="82">
        <f>+F6+F7+F8+F9</f>
        <v>0</v>
      </c>
      <c r="G13" s="84"/>
      <c r="H13" s="86">
        <f>+H6+H7+H8</f>
        <v>0</v>
      </c>
      <c r="I13" s="50"/>
      <c r="J13" s="77">
        <f>+J6+J7</f>
        <v>0</v>
      </c>
      <c r="K13" s="14"/>
    </row>
    <row r="14" spans="1:13" s="11" customFormat="1" ht="16.25" customHeight="1" thickBot="1">
      <c r="D14" s="81" t="s">
        <v>0</v>
      </c>
      <c r="E14" s="83"/>
      <c r="F14" s="83">
        <v>2769713.44</v>
      </c>
      <c r="G14" s="85"/>
      <c r="H14" s="87">
        <v>2193156.3199999998</v>
      </c>
      <c r="I14" s="51"/>
      <c r="J14" s="78">
        <f>J7</f>
        <v>0</v>
      </c>
      <c r="K14" s="20"/>
    </row>
    <row r="15" spans="1:13" s="11" customFormat="1" ht="16.25" customHeight="1" thickTop="1" thickBot="1">
      <c r="D15" s="5" t="s">
        <v>9</v>
      </c>
      <c r="E15" s="6"/>
      <c r="F15" s="6">
        <f>+F13*0.16</f>
        <v>0</v>
      </c>
      <c r="G15" s="52"/>
      <c r="H15" s="10">
        <f>+H13*0.16</f>
        <v>0</v>
      </c>
      <c r="I15" s="53"/>
      <c r="J15" s="54">
        <f>+J13*0.16</f>
        <v>0</v>
      </c>
      <c r="K15" s="20"/>
    </row>
    <row r="16" spans="1:13" s="11" customFormat="1" ht="15" thickTop="1">
      <c r="D16" s="88" t="s">
        <v>7</v>
      </c>
      <c r="E16" s="90"/>
      <c r="F16" s="90">
        <f>F13*1.16</f>
        <v>0</v>
      </c>
      <c r="G16" s="90"/>
      <c r="H16" s="92">
        <f>H13*1.16</f>
        <v>0</v>
      </c>
      <c r="I16" s="64"/>
      <c r="J16" s="66">
        <f>+J13+J15</f>
        <v>0</v>
      </c>
      <c r="K16" s="14"/>
    </row>
    <row r="17" spans="2:11" s="11" customFormat="1">
      <c r="D17" s="89" t="s">
        <v>1</v>
      </c>
      <c r="E17" s="91"/>
      <c r="F17" s="91">
        <v>30</v>
      </c>
      <c r="G17" s="91"/>
      <c r="H17" s="93">
        <v>30</v>
      </c>
      <c r="I17" s="65"/>
      <c r="J17" s="67"/>
      <c r="K17" s="14"/>
    </row>
    <row r="18" spans="2:11" s="11" customFormat="1">
      <c r="D18" s="55" t="s">
        <v>10</v>
      </c>
      <c r="E18" s="41"/>
      <c r="F18" s="31"/>
      <c r="G18" s="40"/>
      <c r="H18" s="56"/>
      <c r="I18" s="57"/>
      <c r="J18" s="58"/>
      <c r="K18" s="14"/>
    </row>
    <row r="19" spans="2:11" s="11" customFormat="1">
      <c r="D19" s="55" t="s">
        <v>29</v>
      </c>
      <c r="E19" s="41"/>
      <c r="F19" s="31"/>
      <c r="G19" s="40"/>
      <c r="H19" s="56"/>
      <c r="I19" s="57"/>
      <c r="J19" s="58"/>
      <c r="K19" s="14"/>
    </row>
    <row r="20" spans="2:11" s="11" customFormat="1">
      <c r="D20" s="55" t="s">
        <v>11</v>
      </c>
      <c r="E20" s="41"/>
      <c r="F20" s="41"/>
      <c r="G20" s="40"/>
      <c r="H20" s="56"/>
      <c r="I20" s="57"/>
      <c r="J20" s="58"/>
      <c r="K20" s="14"/>
    </row>
    <row r="21" spans="2:11" s="11" customFormat="1">
      <c r="D21" s="55" t="s">
        <v>12</v>
      </c>
      <c r="E21" s="41"/>
      <c r="F21" s="41"/>
      <c r="G21" s="40"/>
      <c r="H21" s="56"/>
      <c r="I21" s="57"/>
      <c r="J21" s="58"/>
      <c r="K21" s="14"/>
    </row>
    <row r="22" spans="2:11" s="11" customFormat="1">
      <c r="D22" s="55" t="s">
        <v>13</v>
      </c>
      <c r="E22" s="41"/>
      <c r="F22" s="41"/>
      <c r="G22" s="40"/>
      <c r="H22" s="56"/>
      <c r="I22" s="57"/>
      <c r="J22" s="58"/>
      <c r="K22" s="14"/>
    </row>
    <row r="23" spans="2:11" s="11" customFormat="1">
      <c r="D23" s="55" t="s">
        <v>28</v>
      </c>
      <c r="E23" s="41"/>
      <c r="F23" s="41"/>
      <c r="G23" s="40"/>
      <c r="H23" s="56"/>
      <c r="I23" s="59"/>
      <c r="J23" s="60"/>
      <c r="K23" s="14"/>
    </row>
    <row r="24" spans="2:11" s="11" customFormat="1" ht="15" customHeight="1" thickBot="1">
      <c r="D24" s="55" t="s">
        <v>14</v>
      </c>
      <c r="E24" s="41"/>
      <c r="F24" s="41"/>
      <c r="G24" s="40"/>
      <c r="H24" s="56"/>
      <c r="I24" s="61"/>
      <c r="J24" s="62"/>
      <c r="K24" s="14"/>
    </row>
    <row r="25" spans="2:11" ht="27" customHeight="1">
      <c r="D25" s="15"/>
      <c r="E25" s="15"/>
      <c r="F25" s="15"/>
      <c r="G25" s="15"/>
      <c r="H25" s="15"/>
      <c r="I25" s="15"/>
      <c r="J25" s="3"/>
      <c r="K25" s="3"/>
    </row>
    <row r="26" spans="2:11" ht="27" customHeight="1">
      <c r="B26" s="107" t="s">
        <v>38</v>
      </c>
      <c r="D26" s="15"/>
      <c r="E26" s="15"/>
      <c r="F26" s="15"/>
      <c r="G26" s="15"/>
      <c r="H26" s="15"/>
      <c r="I26" s="15"/>
      <c r="J26" s="3"/>
      <c r="K26" s="3"/>
    </row>
    <row r="27" spans="2:11" s="11" customFormat="1" ht="44" thickBot="1">
      <c r="B27" s="12" t="s">
        <v>32</v>
      </c>
      <c r="C27" s="13" t="s">
        <v>33</v>
      </c>
      <c r="D27" s="103" t="s">
        <v>31</v>
      </c>
      <c r="E27" s="103"/>
      <c r="F27" s="103"/>
      <c r="G27" s="63" t="s">
        <v>34</v>
      </c>
      <c r="H27" s="63" t="s">
        <v>35</v>
      </c>
      <c r="I27" s="63" t="s">
        <v>36</v>
      </c>
      <c r="K27" s="14"/>
    </row>
    <row r="28" spans="2:11" ht="15.5" thickTop="1" thickBot="1">
      <c r="B28" s="7" t="s">
        <v>16</v>
      </c>
      <c r="C28" s="4"/>
      <c r="D28" s="104"/>
      <c r="E28" s="105"/>
      <c r="F28" s="106"/>
      <c r="G28" s="4"/>
      <c r="H28" s="4"/>
      <c r="I28" s="4"/>
      <c r="J28" s="11"/>
      <c r="K28" s="3"/>
    </row>
    <row r="29" spans="2:11" s="11" customFormat="1" ht="30" thickTop="1" thickBot="1">
      <c r="B29" s="17" t="s">
        <v>37</v>
      </c>
      <c r="C29" s="18"/>
      <c r="D29" s="94"/>
      <c r="E29" s="95"/>
      <c r="F29" s="96"/>
      <c r="G29" s="18"/>
      <c r="H29" s="18"/>
      <c r="I29" s="18"/>
      <c r="K29" s="14"/>
    </row>
    <row r="30" spans="2:11" s="11" customFormat="1" ht="15.5" thickTop="1" thickBot="1">
      <c r="B30" s="19" t="s">
        <v>17</v>
      </c>
      <c r="C30" s="18"/>
      <c r="D30" s="94"/>
      <c r="E30" s="95"/>
      <c r="F30" s="96"/>
      <c r="G30" s="18"/>
      <c r="H30" s="18"/>
      <c r="I30" s="18"/>
      <c r="K30" s="14"/>
    </row>
    <row r="31" spans="2:11" s="11" customFormat="1" ht="15.5" thickTop="1" thickBot="1">
      <c r="B31" s="19" t="s">
        <v>18</v>
      </c>
      <c r="C31" s="18"/>
      <c r="D31" s="94"/>
      <c r="E31" s="95"/>
      <c r="F31" s="96"/>
      <c r="G31" s="18"/>
      <c r="H31" s="18"/>
      <c r="I31" s="18"/>
      <c r="K31" s="14"/>
    </row>
    <row r="32" spans="2:11" s="11" customFormat="1" ht="15.5" thickTop="1" thickBot="1">
      <c r="B32" s="19" t="s">
        <v>19</v>
      </c>
      <c r="C32" s="18"/>
      <c r="D32" s="94"/>
      <c r="E32" s="95"/>
      <c r="F32" s="96"/>
      <c r="G32" s="18"/>
      <c r="H32" s="18"/>
      <c r="I32" s="18"/>
      <c r="K32" s="20"/>
    </row>
    <row r="33" spans="2:11" s="11" customFormat="1" ht="15.5" thickTop="1" thickBot="1">
      <c r="B33" s="19" t="s">
        <v>20</v>
      </c>
      <c r="C33" s="18"/>
      <c r="D33" s="97"/>
      <c r="E33" s="98"/>
      <c r="F33" s="99"/>
      <c r="G33" s="18"/>
      <c r="H33" s="18"/>
      <c r="I33" s="18"/>
      <c r="K33" s="14"/>
    </row>
    <row r="34" spans="2:11" s="11" customFormat="1" ht="15.5" thickTop="1" thickBot="1">
      <c r="B34" s="19" t="s">
        <v>21</v>
      </c>
      <c r="C34" s="18"/>
      <c r="D34" s="100"/>
      <c r="E34" s="101"/>
      <c r="F34" s="102"/>
      <c r="G34" s="18"/>
      <c r="H34" s="18"/>
      <c r="I34" s="18"/>
      <c r="K34" s="14"/>
    </row>
    <row r="35" spans="2:11" s="11" customFormat="1" ht="15" thickTop="1">
      <c r="F35" s="21"/>
      <c r="G35" s="11">
        <f>SUM(G28:G34)</f>
        <v>0</v>
      </c>
      <c r="H35" s="11">
        <f t="shared" ref="H35:I35" si="0">SUM(H28:H34)</f>
        <v>0</v>
      </c>
      <c r="I35" s="11">
        <f t="shared" si="0"/>
        <v>0</v>
      </c>
      <c r="K35" s="14"/>
    </row>
    <row r="36" spans="2:11" s="11" customFormat="1">
      <c r="B36" s="22" t="s">
        <v>30</v>
      </c>
      <c r="K36" s="14"/>
    </row>
    <row r="37" spans="2:11" s="11" customFormat="1"/>
    <row r="38" spans="2:11" s="11" customFormat="1"/>
  </sheetData>
  <mergeCells count="26">
    <mergeCell ref="D32:F32"/>
    <mergeCell ref="D33:F33"/>
    <mergeCell ref="D34:F34"/>
    <mergeCell ref="D27:F27"/>
    <mergeCell ref="D28:F28"/>
    <mergeCell ref="D29:F29"/>
    <mergeCell ref="D30:F30"/>
    <mergeCell ref="D31:F31"/>
    <mergeCell ref="D16:D17"/>
    <mergeCell ref="E16:E17"/>
    <mergeCell ref="F16:F17"/>
    <mergeCell ref="G16:G17"/>
    <mergeCell ref="H16:H17"/>
    <mergeCell ref="E1:J1"/>
    <mergeCell ref="J13:J14"/>
    <mergeCell ref="A4:C4"/>
    <mergeCell ref="D13:D14"/>
    <mergeCell ref="E13:E14"/>
    <mergeCell ref="F13:F14"/>
    <mergeCell ref="G13:G14"/>
    <mergeCell ref="H13:H14"/>
    <mergeCell ref="I16:I17"/>
    <mergeCell ref="J16:J17"/>
    <mergeCell ref="E4:F4"/>
    <mergeCell ref="G4:H4"/>
    <mergeCell ref="I4:J4"/>
  </mergeCells>
  <phoneticPr fontId="15" type="noConversion"/>
  <pageMargins left="0.70866141732283472" right="0.70866141732283472" top="0.74803149606299213" bottom="0.74803149606299213" header="0.31496062992125984" footer="0.31496062992125984"/>
  <pageSetup scale="70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Fto Comparativo propuestas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leg04</dc:creator>
  <cp:lastModifiedBy>Yolanda Burkhardt</cp:lastModifiedBy>
  <cp:lastPrinted>2018-02-08T18:45:46Z</cp:lastPrinted>
  <dcterms:created xsi:type="dcterms:W3CDTF">2018-01-26T14:36:49Z</dcterms:created>
  <dcterms:modified xsi:type="dcterms:W3CDTF">2023-12-14T16:48:52Z</dcterms:modified>
</cp:coreProperties>
</file>