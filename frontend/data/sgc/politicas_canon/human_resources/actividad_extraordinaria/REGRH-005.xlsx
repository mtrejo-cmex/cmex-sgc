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s\archivos\Políticas\Recursos Humanos\registros\"/>
    </mc:Choice>
  </mc:AlternateContent>
  <xr:revisionPtr revIDLastSave="0" documentId="8_{EE165210-50B8-477C-9644-1F591B907592}" xr6:coauthVersionLast="47" xr6:coauthVersionMax="47" xr10:uidLastSave="{00000000-0000-0000-0000-000000000000}"/>
  <workbookProtection workbookAlgorithmName="SHA-512" workbookHashValue="gNjTkc9gO280o3L6qyXsX4KjQarYTjVm2vzAnEY6O+kbiQnwXdvCtuKgC+7tnSVVRNuPBqRsOaK0GvQPCc/+ug==" workbookSaltValue="iTgXQ8vO/dX9xLed6Js0Uw==" workbookSpinCount="100000" lockStructure="1"/>
  <bookViews>
    <workbookView xWindow="-110" yWindow="-110" windowWidth="19420" windowHeight="10420" xr2:uid="{B5D4765C-B88D-4B3F-AF31-BD1D0BAABCC1}"/>
  </bookViews>
  <sheets>
    <sheet name="Horas Extras" sheetId="1" r:id="rId1"/>
    <sheet name="Base Empleados" sheetId="2" state="hidden" r:id="rId2"/>
    <sheet name="Hoja3" sheetId="3" state="hidden" r:id="rId3"/>
  </sheets>
  <definedNames>
    <definedName name="_xlnm._FilterDatabase" localSheetId="1" hidden="1">'Base Empleados'!$A$1:$J$255</definedName>
    <definedName name="_xlnm.Print_Area" localSheetId="0">'Horas Extras'!$C$2:$AP$80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W34" i="1"/>
  <c r="P34" i="1"/>
  <c r="I9" i="1"/>
  <c r="I8" i="1"/>
  <c r="I7" i="1"/>
  <c r="U59" i="1" l="1"/>
  <c r="AE6" i="1"/>
  <c r="X26" i="1" l="1"/>
  <c r="N27" i="1"/>
  <c r="W74" i="1" l="1"/>
  <c r="P74" i="1"/>
  <c r="I19" i="3" l="1"/>
  <c r="W6" i="3"/>
  <c r="I34" i="1" l="1"/>
  <c r="I74" i="1" s="1"/>
  <c r="AH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nom01</author>
  </authors>
  <commentList>
    <comment ref="R23" authorId="0" shapeId="0" xr:uid="{CCB2E38B-84B9-4D78-B8E9-4F81D1145603}">
      <text>
        <r>
          <rPr>
            <b/>
            <sz val="14"/>
            <color indexed="81"/>
            <rFont val="Tahoma"/>
            <family val="2"/>
          </rPr>
          <t>Indica la hora incluyendo "A.M o P.M" según sea el caso</t>
        </r>
      </text>
    </comment>
    <comment ref="R24" authorId="0" shapeId="0" xr:uid="{A8549765-AFED-4D73-BA49-347CE270762C}">
      <text>
        <r>
          <rPr>
            <b/>
            <sz val="14"/>
            <color indexed="81"/>
            <rFont val="Tahoma"/>
            <family val="2"/>
          </rPr>
          <t>Indica la hora incluyendo "A.M o P.M" según sea el caso</t>
        </r>
      </text>
    </comment>
    <comment ref="R56" authorId="0" shapeId="0" xr:uid="{C030D9CB-1CBF-477F-9C9A-0EF1C076BBE8}">
      <text>
        <r>
          <rPr>
            <b/>
            <sz val="14"/>
            <color indexed="81"/>
            <rFont val="Tahoma"/>
            <family val="2"/>
          </rPr>
          <t>Indica la hora incluyendo "A.M o P.M" según sea el caso</t>
        </r>
      </text>
    </comment>
    <comment ref="R57" authorId="0" shapeId="0" xr:uid="{2A443E02-9821-44F7-9834-C33E77B4BA1D}">
      <text>
        <r>
          <rPr>
            <b/>
            <sz val="14"/>
            <color indexed="81"/>
            <rFont val="Tahoma"/>
            <family val="2"/>
          </rPr>
          <t>Indica la hora incluyendo "A.M o P.M" según sea el caso</t>
        </r>
      </text>
    </comment>
  </commentList>
</comments>
</file>

<file path=xl/sharedStrings.xml><?xml version="1.0" encoding="utf-8"?>
<sst xmlns="http://schemas.openxmlformats.org/spreadsheetml/2006/main" count="2969" uniqueCount="872">
  <si>
    <t>Canon Mexicana, S. de R.L. de C.V.</t>
  </si>
  <si>
    <t>SOLICITUD DE AUTORIZACION PARA TIEMPO EXTRA</t>
  </si>
  <si>
    <t>NO. NOMINA:</t>
  </si>
  <si>
    <t>FECHA DE SOLICITUD:</t>
  </si>
  <si>
    <t>NOMBRE:</t>
  </si>
  <si>
    <t>PUESTO:</t>
  </si>
  <si>
    <t>JORNADA LABORAL:</t>
  </si>
  <si>
    <t>De lunes a viernes</t>
  </si>
  <si>
    <t>AREA:</t>
  </si>
  <si>
    <t>HORARIO DE JORNADA:</t>
  </si>
  <si>
    <t>de las 8:00 a las 17:00 hrs</t>
  </si>
  <si>
    <t>Indicar forma de pago:</t>
  </si>
  <si>
    <t>Pagar total horas</t>
  </si>
  <si>
    <t>Día de descanso a disfrutar *</t>
  </si>
  <si>
    <t>Nombre completo y firma</t>
  </si>
  <si>
    <t>Empleado</t>
  </si>
  <si>
    <t>Jefe inmediato</t>
  </si>
  <si>
    <t>Gerente del área</t>
  </si>
  <si>
    <t>Recursos Humanos</t>
  </si>
  <si>
    <t>Elaboro</t>
  </si>
  <si>
    <t>Revisó</t>
  </si>
  <si>
    <t>Supervisó</t>
  </si>
  <si>
    <t>Vo.Bo.</t>
  </si>
  <si>
    <t xml:space="preserve">CUANDO EL TIEMPO ACUMULADO SEA MAYOR A 8 HORAS, EL EMPLEADO DEBERA PERMUTAR POR DIAS DE DESCANSO </t>
  </si>
  <si>
    <t xml:space="preserve">Fecha </t>
  </si>
  <si>
    <t xml:space="preserve">Hora Inicial </t>
  </si>
  <si>
    <t xml:space="preserve">Hora Final </t>
  </si>
  <si>
    <t xml:space="preserve">                 Autorizó</t>
  </si>
  <si>
    <t xml:space="preserve">NOTA: EL EMPLEADO NO ESTA AUTORIZADO A TRABAJAR TIEMPO EXTRA SIN PREVIA AUTORIZACION DE SU GERENTE Y DIRECTOR DE AREA </t>
  </si>
  <si>
    <t xml:space="preserve">Total de horas extras estimadas a laborar </t>
  </si>
  <si>
    <t xml:space="preserve"> Director del área</t>
  </si>
  <si>
    <t xml:space="preserve">DETALLADA DEL TIEMPO EXTRA REAL TRABAJADO </t>
  </si>
  <si>
    <t xml:space="preserve">Total de horas extras por pagar </t>
  </si>
  <si>
    <t xml:space="preserve">DESCRIPCION Y ESTIMACION DETALLADA DEL  TIEMPO EXTRA A TRABAJAR </t>
  </si>
  <si>
    <t>* Solo en caso de 8 horas o más</t>
  </si>
  <si>
    <t>Tiempo máximo para disfrutar 2 meses</t>
  </si>
  <si>
    <t xml:space="preserve">   Jefe inmediato</t>
  </si>
  <si>
    <t>Monica Martinez</t>
  </si>
  <si>
    <t># Emp</t>
  </si>
  <si>
    <t>Puesto</t>
  </si>
  <si>
    <t>Departamento</t>
  </si>
  <si>
    <t>Jefe Inmediato</t>
  </si>
  <si>
    <t>Gerencia</t>
  </si>
  <si>
    <t>Direccion</t>
  </si>
  <si>
    <t>Modesto Montes</t>
  </si>
  <si>
    <t>Analista</t>
  </si>
  <si>
    <t>Accounting</t>
  </si>
  <si>
    <t>Morihiro Makita</t>
  </si>
  <si>
    <t>Jorge Flores Sacramento</t>
  </si>
  <si>
    <t>Administrador</t>
  </si>
  <si>
    <t>General Affairs</t>
  </si>
  <si>
    <t>Carolina Mejia</t>
  </si>
  <si>
    <t>Jacqueline Aquino</t>
  </si>
  <si>
    <t>Supervisora</t>
  </si>
  <si>
    <t>Business Operations and Support</t>
  </si>
  <si>
    <t>Arlette Martinez</t>
  </si>
  <si>
    <t>Morihiro Eto</t>
  </si>
  <si>
    <t>Sergio Puebla</t>
  </si>
  <si>
    <t>Asistente</t>
  </si>
  <si>
    <t>Credit and Collection</t>
  </si>
  <si>
    <t>David Torres Aguilar</t>
  </si>
  <si>
    <t>Roberto Perez</t>
  </si>
  <si>
    <t>Especialista Sr.</t>
  </si>
  <si>
    <t>Legal</t>
  </si>
  <si>
    <t>Arturo Rodriguez</t>
  </si>
  <si>
    <t>Técnico</t>
  </si>
  <si>
    <t>Miguel Cruz</t>
  </si>
  <si>
    <t>Ingeniero Sr.</t>
  </si>
  <si>
    <t>ITCG Direct Service</t>
  </si>
  <si>
    <t>Akira Soda</t>
  </si>
  <si>
    <t>Taisuke Horiguchi</t>
  </si>
  <si>
    <t>Miguel Morales</t>
  </si>
  <si>
    <t>Ingeniero</t>
  </si>
  <si>
    <t>Mario Montoya</t>
  </si>
  <si>
    <t>Supervisor</t>
  </si>
  <si>
    <t>BICG Service Administration</t>
  </si>
  <si>
    <t>Jorge Madrigal</t>
  </si>
  <si>
    <t>Mikio Takagi</t>
  </si>
  <si>
    <t>Jorge Pineda</t>
  </si>
  <si>
    <t>Agustin Linares</t>
  </si>
  <si>
    <t>Jose Cruz</t>
  </si>
  <si>
    <t>Especialista</t>
  </si>
  <si>
    <t>Veronica Diaz</t>
  </si>
  <si>
    <t>ITCG Service Administration</t>
  </si>
  <si>
    <t>Antonio Gamboa</t>
  </si>
  <si>
    <t>Joaquin Gonzalez</t>
  </si>
  <si>
    <t>PPS Field Service Operation</t>
  </si>
  <si>
    <t>David Juarez</t>
  </si>
  <si>
    <t>Edgar Gutierrez</t>
  </si>
  <si>
    <t>Francisco Garcia</t>
  </si>
  <si>
    <t>Jose Dominguez</t>
  </si>
  <si>
    <t>OBS Field Service Operation</t>
  </si>
  <si>
    <t>Carlos Zamora</t>
  </si>
  <si>
    <t>David Valencia Valencia</t>
  </si>
  <si>
    <t>Karina Salazar</t>
  </si>
  <si>
    <t>Administradora</t>
  </si>
  <si>
    <t>Order Management</t>
  </si>
  <si>
    <t>Arlette Villalpando</t>
  </si>
  <si>
    <t>Eduardo Mujica</t>
  </si>
  <si>
    <t>Irma Chavez</t>
  </si>
  <si>
    <t>Ingeniera</t>
  </si>
  <si>
    <t>Victor Cabezas</t>
  </si>
  <si>
    <t>Distribution Center</t>
  </si>
  <si>
    <t>Ana Delgadillo</t>
  </si>
  <si>
    <t>Gildardo Reyes</t>
  </si>
  <si>
    <t>Oscar De la O Fernandez</t>
  </si>
  <si>
    <t>Lizbeth Hernandez</t>
  </si>
  <si>
    <t>Administration</t>
  </si>
  <si>
    <t>Cesar Flores</t>
  </si>
  <si>
    <t>Enrique Cruz</t>
  </si>
  <si>
    <t>Professional Printing Solutions Marketing and Training Services</t>
  </si>
  <si>
    <t>Irina Leyva</t>
  </si>
  <si>
    <t>Claudia Ramirez</t>
  </si>
  <si>
    <t>Lorena Cervantes</t>
  </si>
  <si>
    <t>Veronica Villegas</t>
  </si>
  <si>
    <t>Leoncio Rodriguez</t>
  </si>
  <si>
    <t>Edgar Garcia</t>
  </si>
  <si>
    <t>Alfonso Tristan</t>
  </si>
  <si>
    <t>Gustavo Villagomez</t>
  </si>
  <si>
    <t>Traffic</t>
  </si>
  <si>
    <t>Irais Guttu</t>
  </si>
  <si>
    <t>Gabriela Ramirez</t>
  </si>
  <si>
    <t>Javier Duarte</t>
  </si>
  <si>
    <t>Samuel Alonso</t>
  </si>
  <si>
    <t>Jhoana Meneses</t>
  </si>
  <si>
    <t>MDS Delivery and Management</t>
  </si>
  <si>
    <t>Carlos Jasso</t>
  </si>
  <si>
    <t>Gabriela Rodriguez</t>
  </si>
  <si>
    <t>BICG Product Control</t>
  </si>
  <si>
    <t>Fabiola Garcia</t>
  </si>
  <si>
    <t>Rodrigo Islas</t>
  </si>
  <si>
    <t>Oswaldo Barrios</t>
  </si>
  <si>
    <t>Loyalty Program and Contents Creation</t>
  </si>
  <si>
    <t>Manuel Nunezc</t>
  </si>
  <si>
    <t>Francisco Martinez</t>
  </si>
  <si>
    <t>Oscar Calderon</t>
  </si>
  <si>
    <t>Efrain Obregon</t>
  </si>
  <si>
    <t>Karina Espinosa</t>
  </si>
  <si>
    <t>Office Solutions Marketing and Training Services</t>
  </si>
  <si>
    <t>Karla Ortiz</t>
  </si>
  <si>
    <t>Sergio Feijoo</t>
  </si>
  <si>
    <t>Veronica Roque</t>
  </si>
  <si>
    <t>Iveth Fernandez</t>
  </si>
  <si>
    <t>Orlando Ocana</t>
  </si>
  <si>
    <t>Jorge Amaya</t>
  </si>
  <si>
    <t>Coordinador</t>
  </si>
  <si>
    <t>Abraham Rosete</t>
  </si>
  <si>
    <t>Blanca Guerrero</t>
  </si>
  <si>
    <t>Reymundo Velazquez</t>
  </si>
  <si>
    <t>PPS Professional Services</t>
  </si>
  <si>
    <t>David Macias</t>
  </si>
  <si>
    <t>ITCG Wholesaler Sales</t>
  </si>
  <si>
    <t>Victor Oliva</t>
  </si>
  <si>
    <t>Viridiana Rivera</t>
  </si>
  <si>
    <t>Luis Velazquez</t>
  </si>
  <si>
    <t>Pedro Cortes</t>
  </si>
  <si>
    <t>Armando Badillo</t>
  </si>
  <si>
    <t>Trade Marketing</t>
  </si>
  <si>
    <t>Alvaro Perez</t>
  </si>
  <si>
    <t>Adalilia Gomez</t>
  </si>
  <si>
    <t>Gustavo Pallares</t>
  </si>
  <si>
    <t>Tania Hernandez</t>
  </si>
  <si>
    <t>David Garfias</t>
  </si>
  <si>
    <t>Alex Luna</t>
  </si>
  <si>
    <t>Leonel Morales</t>
  </si>
  <si>
    <t>Analista Sr.</t>
  </si>
  <si>
    <t>Marcial Jimenez</t>
  </si>
  <si>
    <t>Healthcare Solutions Sales and Support</t>
  </si>
  <si>
    <t>Carlos Franyutti</t>
  </si>
  <si>
    <t>Moises Maldonado</t>
  </si>
  <si>
    <t>Alejandro Morales</t>
  </si>
  <si>
    <t>Hector Moreno</t>
  </si>
  <si>
    <t>Omar Gonzalez</t>
  </si>
  <si>
    <t>Ignacio Garcia</t>
  </si>
  <si>
    <t>Alejandro Ortiz</t>
  </si>
  <si>
    <t>Sergio Chavaro Mejia</t>
  </si>
  <si>
    <t>Rafael Gonzalez</t>
  </si>
  <si>
    <t>Roman Aguilar</t>
  </si>
  <si>
    <t>Arturo Gonzalez</t>
  </si>
  <si>
    <t>Gabriel Valencia Andrade</t>
  </si>
  <si>
    <t>Eleazar Alcocer</t>
  </si>
  <si>
    <t>Judith Fuentes</t>
  </si>
  <si>
    <t>Consumer Product Sales Marketing</t>
  </si>
  <si>
    <t>Angelica Gonzalez</t>
  </si>
  <si>
    <t>Carlos Reyes</t>
  </si>
  <si>
    <t>Gerardo Botello</t>
  </si>
  <si>
    <t>Hugo Alcocer</t>
  </si>
  <si>
    <t>Leticia Polina</t>
  </si>
  <si>
    <t>Marketing Services</t>
  </si>
  <si>
    <t>Daniel Aguilar</t>
  </si>
  <si>
    <t>Luis Antonio Garcia</t>
  </si>
  <si>
    <t>Jose Reyna</t>
  </si>
  <si>
    <t>Maria Vazquez</t>
  </si>
  <si>
    <t>David Omar Gonzalez</t>
  </si>
  <si>
    <t>Jose Nieto</t>
  </si>
  <si>
    <t>Daniel Valdelamar</t>
  </si>
  <si>
    <t>Brenda Galicia</t>
  </si>
  <si>
    <t>David Carapia</t>
  </si>
  <si>
    <t>IT</t>
  </si>
  <si>
    <t>Hugo Avila</t>
  </si>
  <si>
    <t>Saul Gutierrez</t>
  </si>
  <si>
    <t>Miryam Francisco</t>
  </si>
  <si>
    <t>Mauricio Martinez</t>
  </si>
  <si>
    <t>Liliana Ruiz</t>
  </si>
  <si>
    <t>Professional &amp; Broadcast Sales &amp; Marketing</t>
  </si>
  <si>
    <t>Barbara Cervantes</t>
  </si>
  <si>
    <t>ITCG Procurement</t>
  </si>
  <si>
    <t>Isabel Alcantara</t>
  </si>
  <si>
    <t>Giovanni Castaneda</t>
  </si>
  <si>
    <t>Jorge Luis Rodriguez</t>
  </si>
  <si>
    <t>Nelly Mendoza</t>
  </si>
  <si>
    <t>Budget Control</t>
  </si>
  <si>
    <t>Hirofumi Tanaka</t>
  </si>
  <si>
    <t>Federico Reyes</t>
  </si>
  <si>
    <t>Daniel Belmont</t>
  </si>
  <si>
    <t>Benjamin Villegas</t>
  </si>
  <si>
    <t>Oscar Teran</t>
  </si>
  <si>
    <t>Fernando Esquivel</t>
  </si>
  <si>
    <t>Carlos Hernandez</t>
  </si>
  <si>
    <t>Alejandro Acosta</t>
  </si>
  <si>
    <t>Sandra Alvarado</t>
  </si>
  <si>
    <t>Graciela de la Rosa</t>
  </si>
  <si>
    <t>Jose Alva</t>
  </si>
  <si>
    <t>Samuel Maqueda</t>
  </si>
  <si>
    <t>Blanca Rodriguez</t>
  </si>
  <si>
    <t>ITCG Design</t>
  </si>
  <si>
    <t>Daniela Zavala</t>
  </si>
  <si>
    <t>Saul Torres</t>
  </si>
  <si>
    <t>Roman Velasco</t>
  </si>
  <si>
    <t>Canon Academy and New Business Operation</t>
  </si>
  <si>
    <t>Carlos Miranda</t>
  </si>
  <si>
    <t>Melany Sanabria</t>
  </si>
  <si>
    <t>BICG PPS Sales</t>
  </si>
  <si>
    <t>Sergio Calderon</t>
  </si>
  <si>
    <t>Vanessa Gonzalez Pantaleon</t>
  </si>
  <si>
    <t>Mariela Monterrosa</t>
  </si>
  <si>
    <t>Mary Gil</t>
  </si>
  <si>
    <t>Luis Hernandez</t>
  </si>
  <si>
    <t>Cynthia Rojas</t>
  </si>
  <si>
    <t>Julio Albarran</t>
  </si>
  <si>
    <t>Sergio Rodriguez</t>
  </si>
  <si>
    <t>Ricardo Juarez</t>
  </si>
  <si>
    <t>Julio Hernandez</t>
  </si>
  <si>
    <t>Haydeé García</t>
  </si>
  <si>
    <t>Rodrigo Paredes</t>
  </si>
  <si>
    <t>Finance Planning</t>
  </si>
  <si>
    <t>Gabriela Garcia</t>
  </si>
  <si>
    <t>Eduardo Martinez</t>
  </si>
  <si>
    <t>New Business Sales</t>
  </si>
  <si>
    <t>Miriam Dromundo</t>
  </si>
  <si>
    <t>Alberto Becerril</t>
  </si>
  <si>
    <t>Antonieta Jimenez</t>
  </si>
  <si>
    <t>Fernando Mateos</t>
  </si>
  <si>
    <t>Itzel Bautista</t>
  </si>
  <si>
    <t>Adalberta Miranda</t>
  </si>
  <si>
    <t>Eduardo Jurado</t>
  </si>
  <si>
    <t>Alan Cruz</t>
  </si>
  <si>
    <t>Francisco Reyes</t>
  </si>
  <si>
    <t>Fernando Oliva</t>
  </si>
  <si>
    <t>Luis Garcia</t>
  </si>
  <si>
    <t>Marco Montalvo</t>
  </si>
  <si>
    <t>Jesus Cruz</t>
  </si>
  <si>
    <t>Paulina Marquez</t>
  </si>
  <si>
    <t>Corporate Communications</t>
  </si>
  <si>
    <t>Pedro Monterrubio</t>
  </si>
  <si>
    <t>Paola Romero</t>
  </si>
  <si>
    <t>Luis Garduño</t>
  </si>
  <si>
    <t>Jose Galicia</t>
  </si>
  <si>
    <t>Luis Dorantes</t>
  </si>
  <si>
    <t>Rodolfo García</t>
  </si>
  <si>
    <t>Human Resources</t>
  </si>
  <si>
    <t>Beatriz Dal Re</t>
  </si>
  <si>
    <t>Luis Sanchez</t>
  </si>
  <si>
    <t>Horacio Almazan</t>
  </si>
  <si>
    <t>Edith Garcia</t>
  </si>
  <si>
    <t>Elizabeth Gomez</t>
  </si>
  <si>
    <t>Strategic Analysis and Opportunity Management</t>
  </si>
  <si>
    <t>Alberto Valerio</t>
  </si>
  <si>
    <t>Miguel Hernandez</t>
  </si>
  <si>
    <t>Laura Ramirez</t>
  </si>
  <si>
    <t>Daniel Perez</t>
  </si>
  <si>
    <t>Victor Espinosa</t>
  </si>
  <si>
    <t>Josue Gutierrez</t>
  </si>
  <si>
    <t>Diego Morales</t>
  </si>
  <si>
    <t>Jose Balbuena</t>
  </si>
  <si>
    <t>Ernesto Gonzalez</t>
  </si>
  <si>
    <t>Liliana Cobos</t>
  </si>
  <si>
    <t>Alejandro Avalos</t>
  </si>
  <si>
    <t>Miguel Rubio</t>
  </si>
  <si>
    <t>Edgar Candelario</t>
  </si>
  <si>
    <t>Sandra Hernandez</t>
  </si>
  <si>
    <t>Alejandro Mora</t>
  </si>
  <si>
    <t>Carlos Peñaloza</t>
  </si>
  <si>
    <t>Aaron Sanchez</t>
  </si>
  <si>
    <t>Erick Castellanos</t>
  </si>
  <si>
    <t>Erika Sanchez</t>
  </si>
  <si>
    <t>Viridiana Martinez</t>
  </si>
  <si>
    <t>Sergio Aguilar Gonzalez</t>
  </si>
  <si>
    <t>Adriana Perez</t>
  </si>
  <si>
    <t>Procurement</t>
  </si>
  <si>
    <t>Yolanda Burkhardt</t>
  </si>
  <si>
    <t>Mario Rocha</t>
  </si>
  <si>
    <t>Andres Osorio</t>
  </si>
  <si>
    <t>Genoveva Davila</t>
  </si>
  <si>
    <t>Mauricio Vazquez</t>
  </si>
  <si>
    <t>Erika Verdin</t>
  </si>
  <si>
    <t>Karla Heredia</t>
  </si>
  <si>
    <t>Susana Marquez</t>
  </si>
  <si>
    <t>Alberto Gonzalez</t>
  </si>
  <si>
    <t>Liliana Hernandez</t>
  </si>
  <si>
    <t>Fernando Montes De Oca</t>
  </si>
  <si>
    <t>Financial Services</t>
  </si>
  <si>
    <t>Angel Olivas</t>
  </si>
  <si>
    <t>Jose Hernandez</t>
  </si>
  <si>
    <t>Francisco Bustos</t>
  </si>
  <si>
    <t>Juan Martinez</t>
  </si>
  <si>
    <t>Juan Samano</t>
  </si>
  <si>
    <t>Amellaly Benitez</t>
  </si>
  <si>
    <t>Emma Villanueva</t>
  </si>
  <si>
    <t>Karina Aguilar</t>
  </si>
  <si>
    <t>Enrique Juarez</t>
  </si>
  <si>
    <t>Mirna Gomez</t>
  </si>
  <si>
    <t>Jesus Trejo</t>
  </si>
  <si>
    <t>Stefania Lopez</t>
  </si>
  <si>
    <t>Raymundo Lozano</t>
  </si>
  <si>
    <t>Miriam Martinez</t>
  </si>
  <si>
    <t>Oscar Arce</t>
  </si>
  <si>
    <t>Nadia Roman</t>
  </si>
  <si>
    <t>Mariana Godinez</t>
  </si>
  <si>
    <t>BICG Dealers Sales</t>
  </si>
  <si>
    <t>Daniel Garza</t>
  </si>
  <si>
    <t>Nancy Feregrino</t>
  </si>
  <si>
    <t>Diana Uribe</t>
  </si>
  <si>
    <t>Daniela Vaca</t>
  </si>
  <si>
    <t>Cesar Santamaria</t>
  </si>
  <si>
    <t>Josefina Flores</t>
  </si>
  <si>
    <t>Joshua Mendoza</t>
  </si>
  <si>
    <t>Leonardo Valencia</t>
  </si>
  <si>
    <t>Alexa Barquin</t>
  </si>
  <si>
    <t>Diego Mejia</t>
  </si>
  <si>
    <t>Edgar Castro</t>
  </si>
  <si>
    <t>Guillermo Martinez</t>
  </si>
  <si>
    <t>Luis Barjau</t>
  </si>
  <si>
    <t>Victor Ramirez</t>
  </si>
  <si>
    <t>Marco Marquez</t>
  </si>
  <si>
    <t>Ana Cecena</t>
  </si>
  <si>
    <t>Cristian Romero</t>
  </si>
  <si>
    <t>Italy Cabrera</t>
  </si>
  <si>
    <t>Diana Perez</t>
  </si>
  <si>
    <t>Erika Trejo</t>
  </si>
  <si>
    <t>Guillermo Cabrera</t>
  </si>
  <si>
    <t>Gustavo Corona</t>
  </si>
  <si>
    <t>Ana Valladares</t>
  </si>
  <si>
    <t>Karla Salinas</t>
  </si>
  <si>
    <t>Natalia Garza</t>
  </si>
  <si>
    <t>Enterprise Business Solutions Sales</t>
  </si>
  <si>
    <t>Leydi Hernandez</t>
  </si>
  <si>
    <t>Irving Meza</t>
  </si>
  <si>
    <t>Oscar Vega</t>
  </si>
  <si>
    <t>Maria Gonzalez</t>
  </si>
  <si>
    <t>Alejandra Romodevivar</t>
  </si>
  <si>
    <t>Roman Alvarado</t>
  </si>
  <si>
    <t>Monica Gamez</t>
  </si>
  <si>
    <t>Alberto Garcia</t>
  </si>
  <si>
    <t>Gerardo Olvera</t>
  </si>
  <si>
    <t>Perla Cruz</t>
  </si>
  <si>
    <t>*Tiempo  minimo para pago 00:30 minutos, no se paga fraaciones de tiempo</t>
  </si>
  <si>
    <t>AQUINO ACEVEDO JACQUELINE</t>
  </si>
  <si>
    <t>SEMANA:</t>
  </si>
  <si>
    <t>Del 06 de Enero al 12 de Enero</t>
  </si>
  <si>
    <t>SUPERVISOR</t>
  </si>
  <si>
    <t>BUSINESS OPERATIONS AND SUPPORT</t>
  </si>
  <si>
    <t>DESCRIPCION DETALLADA DEL TIEMPO EXTRA A REALIZAR:</t>
  </si>
  <si>
    <t>Total Horas a pagar</t>
  </si>
  <si>
    <t>Horario inicial</t>
  </si>
  <si>
    <t>Horario final</t>
  </si>
  <si>
    <t>Total Horas</t>
  </si>
  <si>
    <t>TOTAL HORAS</t>
  </si>
  <si>
    <t>*50 = Media hora</t>
  </si>
  <si>
    <t>Tiempo minimo para pago 00:30 minutos, no se pagan fracciones de tiempo.</t>
  </si>
  <si>
    <t>Indicar día de descanso</t>
  </si>
  <si>
    <t>EXCLUSIVO PARA PERSONAL DE SERVICIO</t>
  </si>
  <si>
    <t>DOMINGO</t>
  </si>
  <si>
    <t>LUNES</t>
  </si>
  <si>
    <t>MARTES</t>
  </si>
  <si>
    <t>MIERCOLES</t>
  </si>
  <si>
    <t>JUEVES</t>
  </si>
  <si>
    <t>VIERNES</t>
  </si>
  <si>
    <t>SABADO</t>
  </si>
  <si>
    <t>Cliente</t>
  </si>
  <si>
    <t>Job</t>
  </si>
  <si>
    <t>HORARIO</t>
  </si>
  <si>
    <t>DESCRIPCION</t>
  </si>
  <si>
    <t>HRS</t>
  </si>
  <si>
    <t>INDICAR ORIGEN / DESTINO</t>
  </si>
  <si>
    <t>EN CASO DE PAGO POR EQUIPO ARREGLADO</t>
  </si>
  <si>
    <t>DIA DEL VIAJE:</t>
  </si>
  <si>
    <t>CLIENTE:</t>
  </si>
  <si>
    <t>No total de equipos</t>
  </si>
  <si>
    <t>ORIGEN:</t>
  </si>
  <si>
    <t>DESTINO:</t>
  </si>
  <si>
    <t>Pago por equipos</t>
  </si>
  <si>
    <t>Nota: Este formato debera ser llenado a máquina, manual no se acepta.</t>
  </si>
  <si>
    <t>Director del área</t>
  </si>
  <si>
    <t>Autorizó</t>
  </si>
  <si>
    <t>Seleccione</t>
  </si>
  <si>
    <t>MONTES HERNANDEZ MODESTO</t>
  </si>
  <si>
    <t>ACCOUNTING</t>
  </si>
  <si>
    <t>ANALISTA</t>
  </si>
  <si>
    <t>Del 01 de Enero al 05 de Enero</t>
  </si>
  <si>
    <t>Domingo</t>
  </si>
  <si>
    <t>FLORES SACRAMENTO JOSE JORGE</t>
  </si>
  <si>
    <t>GENERAL AFFAIRS</t>
  </si>
  <si>
    <t>ADMINISTRADOR</t>
  </si>
  <si>
    <t>Del 13 de Enero al 19 de Enero</t>
  </si>
  <si>
    <t xml:space="preserve"> </t>
  </si>
  <si>
    <t>PUEBLA MARTINEZ SERGIO</t>
  </si>
  <si>
    <t>CREDIT AND COLLECTION</t>
  </si>
  <si>
    <t>ASISTENTE</t>
  </si>
  <si>
    <t>Del 20 de Enero al 26 de Enero</t>
  </si>
  <si>
    <t>PEREZ ROMERO ROBERTO</t>
  </si>
  <si>
    <t>LEGAL</t>
  </si>
  <si>
    <t>ESPECIALISTA SR</t>
  </si>
  <si>
    <t>Del 27 de Enero al 02 de Febrero</t>
  </si>
  <si>
    <t>RODRIGUEZ REYES ARTURO</t>
  </si>
  <si>
    <t>TECNICO</t>
  </si>
  <si>
    <t>Del 03 de Febrero al 09 de Febrero</t>
  </si>
  <si>
    <t>DE LA CRUZ ZURITA MIGUEL ANGEL</t>
  </si>
  <si>
    <t>ITCG DIRECT SERVICE</t>
  </si>
  <si>
    <t>INGENIERO SR</t>
  </si>
  <si>
    <t>Del 10 de Febrero al 16 de Febrero</t>
  </si>
  <si>
    <t>MORALES RENDON MIGUEL ANGEL</t>
  </si>
  <si>
    <t>INGENIERO</t>
  </si>
  <si>
    <t>Del 17de Febrero al 23 de Febrero</t>
  </si>
  <si>
    <t>MONTOYA ROSALES JUAN MARIO</t>
  </si>
  <si>
    <t>SERVICE ADMINISTRATION BICG</t>
  </si>
  <si>
    <t>Del 24 de Febrero al 02 de Marzo</t>
  </si>
  <si>
    <t>PINEDA PEREZ JORGE MANUEL</t>
  </si>
  <si>
    <t>Del 03 de Marzo al 09 de Marzo</t>
  </si>
  <si>
    <t>LINARES LOPEZ JOSE AGUSTIN</t>
  </si>
  <si>
    <t>Del 10 de Marzo al 16 de Marzo</t>
  </si>
  <si>
    <t>DE LA CRUZ VALDEZ JOSE LUIS</t>
  </si>
  <si>
    <t>ESPECIALISTA</t>
  </si>
  <si>
    <t>Del 17 de Marzo al 23 de Marzo</t>
  </si>
  <si>
    <t>DIAZ GONZALEZ GUADALUPE VERONICA</t>
  </si>
  <si>
    <t>SERVICE ADMINISTRATION ITCG</t>
  </si>
  <si>
    <t>Del 24 de Marzo al 30 de Marzo</t>
  </si>
  <si>
    <t>GAMBOA HERNANDEZ ANTONIO</t>
  </si>
  <si>
    <t>Del 31 de Marzo al 6 de Abril</t>
  </si>
  <si>
    <t>GONZALEZ HERNANDEZ JUAN JOAQUIN</t>
  </si>
  <si>
    <t>PPS FIELD SERVICE OPERATION</t>
  </si>
  <si>
    <t>Del 7 de Abril al 13 de Abril</t>
  </si>
  <si>
    <t>GUTIERREZ MEJIA EDGAR</t>
  </si>
  <si>
    <t>Del 14 de Abril al 20 de Abril</t>
  </si>
  <si>
    <t>GARCIA RAMIREZ FRANCISCO</t>
  </si>
  <si>
    <t>OBS FIELD SERVICE OPERATION</t>
  </si>
  <si>
    <t>Del 21 de Abril al 27 de Abril</t>
  </si>
  <si>
    <t>VARGAS PEREZ MAURO ALBERTO</t>
  </si>
  <si>
    <t>Del 28 de Abril al 4 de Mayo</t>
  </si>
  <si>
    <t>DOMINGUEZ GARCIA JOSE</t>
  </si>
  <si>
    <t>Del 5 de Mayo al 11 de Mayo</t>
  </si>
  <si>
    <t>VALENCIA VALENCIA DAVID</t>
  </si>
  <si>
    <t>Del 12 de Mayo al 18 de Mayo</t>
  </si>
  <si>
    <t>SALAZAR GRACIDA KARINA ERIKA</t>
  </si>
  <si>
    <t>SALES ADMINISTRATION</t>
  </si>
  <si>
    <t>Del 19 de Mayo al 25 de Mayo</t>
  </si>
  <si>
    <t>CHAVEZ BARCENAS IRMA</t>
  </si>
  <si>
    <t>Del 26 de Mayo al 1 de Junio</t>
  </si>
  <si>
    <t>CABEZAS OSPINA VICTOR FELIPE</t>
  </si>
  <si>
    <t>DISTRIBUTION CENTER</t>
  </si>
  <si>
    <t>Del 2 de Junio al 8 de Junio</t>
  </si>
  <si>
    <t>DIAZ ESCOBAR ROBERTO</t>
  </si>
  <si>
    <t>Del 9 de Junio al 15 de Junio</t>
  </si>
  <si>
    <t>DELGADILLO MOSQUEDA ANA LILIA</t>
  </si>
  <si>
    <t>Del 16 de Junio al 22 de Junio</t>
  </si>
  <si>
    <t>REYES HERNANDEZ GILDARDO</t>
  </si>
  <si>
    <t>Del 23 de Junio al 29 de Junio</t>
  </si>
  <si>
    <t>DE LA O FERNANDEZ OSCAR</t>
  </si>
  <si>
    <t>Del 30 de Junio al 6 de Julio</t>
  </si>
  <si>
    <t>HERNANDEZ VILLAFUERTE MARTHA LIZBETH</t>
  </si>
  <si>
    <t>Del 7 de Julio al 13 de Julio</t>
  </si>
  <si>
    <t>CRUZ IZQUIERDO ENRIQUE ANTONIO</t>
  </si>
  <si>
    <t>PPS MARKETING AND TRAINING SERVICES</t>
  </si>
  <si>
    <t>Del 14 de Julio al 20 de Julio</t>
  </si>
  <si>
    <t>CERVANTES GARCIA LORENA</t>
  </si>
  <si>
    <t>Del 21 de Julio al 27 de Julio</t>
  </si>
  <si>
    <t>VILLEGAS ROA VERONICA</t>
  </si>
  <si>
    <t>Del 28 de Julio al 3 de Agosto</t>
  </si>
  <si>
    <t>RODRIGUEZ FLORES LEONCIO</t>
  </si>
  <si>
    <t>Del 4 de Agosto al 10 de Agosto</t>
  </si>
  <si>
    <t>GARCIA CONTRERAS EDGAR</t>
  </si>
  <si>
    <t>Del 11 de Agosto al 17 de Agosto</t>
  </si>
  <si>
    <t>TRISTAN LOPEZ JOSE ALFONSO</t>
  </si>
  <si>
    <t>Del 18 de Agosto al 24 de Agosto</t>
  </si>
  <si>
    <t>VILLAGOMEZ GOMEZ GUSTAVO</t>
  </si>
  <si>
    <t>TRAFFIC</t>
  </si>
  <si>
    <t>Del 25 de Agosto al 31 de Agosto</t>
  </si>
  <si>
    <t>GUTTU GOMEZ TAGLE IRAIS</t>
  </si>
  <si>
    <t>Del 1 de Septiembre al 7 de Septiembre</t>
  </si>
  <si>
    <t>RAMIREZ CERVANTES ALMA GABRIELA</t>
  </si>
  <si>
    <t>Del 8 de Septiembre al 14 de Septiembre</t>
  </si>
  <si>
    <t>DUARTE ORTEGA JAVIER</t>
  </si>
  <si>
    <t>Del 15 de Septiembre al 21 de Septiembre</t>
  </si>
  <si>
    <t>ALONSO HERRERA SAMUEL</t>
  </si>
  <si>
    <t>Del 22 de Septiembre al 28 de Septiembre</t>
  </si>
  <si>
    <t>MENESES ACOSTA MARTHA JHOANA</t>
  </si>
  <si>
    <t>MDS DELIVERY AND MANAGEMENT</t>
  </si>
  <si>
    <t>Del 29 de Septiembre al 5 de Octubre</t>
  </si>
  <si>
    <t>RODRIGUEZ RIVERA GABRIELA</t>
  </si>
  <si>
    <t>BICG PRODUCT CONTROL</t>
  </si>
  <si>
    <t>Del 6 de Octubre al 12 de Octubre</t>
  </si>
  <si>
    <t>GARCIA CADENA FABIOLA</t>
  </si>
  <si>
    <t>Del 13 de Octubre al 19 de Octubre</t>
  </si>
  <si>
    <t>DE MAURO MEDINA CELESTINO</t>
  </si>
  <si>
    <t>Del 20 de Octubre al 26 de Octubre</t>
  </si>
  <si>
    <t>ISLAS CRUZ RODRIGO</t>
  </si>
  <si>
    <t>Del 27 de Octubre al 2 de Noviembre</t>
  </si>
  <si>
    <t>BARRIOS TAPIA OSWALDO ALONSO</t>
  </si>
  <si>
    <t>PROFESSIONAL SUPPORT &amp; CPS</t>
  </si>
  <si>
    <t>Del 3 de Noviembre al 9 de Noviembre</t>
  </si>
  <si>
    <t>MARTINEZ MATIAS FRANCISCO</t>
  </si>
  <si>
    <t>Del 10 de Noviembre al 16 de Noviembre</t>
  </si>
  <si>
    <t>CALDERON JIMENEZ OSCAR</t>
  </si>
  <si>
    <t>Del 17 de Noviembre al 23 de Noviembre</t>
  </si>
  <si>
    <t>OBREGON HERNANDEZ EFRAIN</t>
  </si>
  <si>
    <t>Del 24 de Noviembre al 30 de Noviembre</t>
  </si>
  <si>
    <t>RIVERA JIMENEZ JOSE ALEJANDRO</t>
  </si>
  <si>
    <t>Del 1 de Diciembre al 7 de Diciembre</t>
  </si>
  <si>
    <t>CORTES MEDINA LUIS</t>
  </si>
  <si>
    <t>Del 8 de Diciembre al 14 de Diciembre</t>
  </si>
  <si>
    <t>ESPINOSA MENDEZ SONIA KARINA</t>
  </si>
  <si>
    <t>OFFICE SOLUTIONS MARKETING AND TRAINING SERVICES</t>
  </si>
  <si>
    <t>Del 15 de Diciembre al 21 de Diciembre</t>
  </si>
  <si>
    <t>FEIJOO VENEGAS SERGIO</t>
  </si>
  <si>
    <t>Del 22 de Diciembre al 28 de Diciembre</t>
  </si>
  <si>
    <t>ROQUE MARTINEZ DELIA VERONICA</t>
  </si>
  <si>
    <t>Del 29 de Diciembre al 4 de Enero</t>
  </si>
  <si>
    <t>FLORES CARRANZA ROSAURA</t>
  </si>
  <si>
    <t>FERNANDEZ GONZALEZ IVETH NAYELLI</t>
  </si>
  <si>
    <t>OCAÑA FRAUSTO ORLANDO AARON</t>
  </si>
  <si>
    <t>AMAYA FLORES JORGE ARMANDO</t>
  </si>
  <si>
    <t>COORDINADOR</t>
  </si>
  <si>
    <t>ROSETE SOLIS ABRAHAM</t>
  </si>
  <si>
    <t>GUERRERO GARCIA BLANCA ESTELA</t>
  </si>
  <si>
    <t>VELAZQUEZ INES REYMUNDO</t>
  </si>
  <si>
    <t>PPS PROFESSIONAL SERVICES</t>
  </si>
  <si>
    <t>MACIAS GUTIERREZ DAVID</t>
  </si>
  <si>
    <t>WHOLESALER SALES</t>
  </si>
  <si>
    <t>RIVERA MERCADILLO LOURDES VIRIDIANA</t>
  </si>
  <si>
    <t>BRIBIESCA OTAMENDI JAIR ALBERTO</t>
  </si>
  <si>
    <t>VELAZQUEZ MARTINEZ JORGE LUIS</t>
  </si>
  <si>
    <t>CORTES ROSAS PEDRO</t>
  </si>
  <si>
    <t>BADILLO PEÑAFIEL ARMANDO</t>
  </si>
  <si>
    <t>TRADE MARKETING</t>
  </si>
  <si>
    <t>GOMEZ RADILLA ADALILIA</t>
  </si>
  <si>
    <t>PALLARES CASASOLA GUSTAVO</t>
  </si>
  <si>
    <t>HERNANDEZ GONZALEZ TANIA LIZBETH</t>
  </si>
  <si>
    <t>GARCIA HERNANDEZ JORGE ALONSO</t>
  </si>
  <si>
    <t>HUMAN RESOURCES</t>
  </si>
  <si>
    <t>GARFIAS CAMPA DAVID ALBERTO</t>
  </si>
  <si>
    <t>MOJICA PEREZ IVONNE DIANA</t>
  </si>
  <si>
    <t>HOLGUIN LUNA ALEJANDRO</t>
  </si>
  <si>
    <t>MORALES GUTIERREZ LEONEL</t>
  </si>
  <si>
    <t>ANALISTA SENIOR</t>
  </si>
  <si>
    <t>JIMENEZ AYALA MARCIAL</t>
  </si>
  <si>
    <t>HEALTHCARE SOLUTIONS SALES AND SUPPORT</t>
  </si>
  <si>
    <t>LEYVA DIAZ IRINA MARGARITA</t>
  </si>
  <si>
    <t>MALDONADO FUERTE EDGAR MOISES</t>
  </si>
  <si>
    <t>MORALES ARROYO JESUS ALEJANDRO</t>
  </si>
  <si>
    <t>MORENO MARTINEZ HECTOR</t>
  </si>
  <si>
    <t>MORALES GONZALEZ OMAR</t>
  </si>
  <si>
    <t>GARCIA MARTINEZ IGNACIO</t>
  </si>
  <si>
    <t>ORTIZ AHUMADA ALEJANDRO</t>
  </si>
  <si>
    <t>CHAVARO MEJIA SERGIO</t>
  </si>
  <si>
    <t>GONZALEZ PINEDA JOSE RAFAEL</t>
  </si>
  <si>
    <t>AGUILAR DURET ROMAN</t>
  </si>
  <si>
    <t>GONZALEZ PEREZ RICARDO ARTURO</t>
  </si>
  <si>
    <t>RODRIGUEZ JIMENEZ JOSE DE JESUS</t>
  </si>
  <si>
    <t>VALENCIA ANDRADE GABRIEL</t>
  </si>
  <si>
    <t>ALCOCER GONZALEZ ELEAZAR</t>
  </si>
  <si>
    <t>FUENTES PEREZ ASELA JUDITH</t>
  </si>
  <si>
    <t>MARKETING INTELLIGENCE</t>
  </si>
  <si>
    <t>REYES SALGADO JUAN CARLOS</t>
  </si>
  <si>
    <t>BOTELLO MARES GERARDO</t>
  </si>
  <si>
    <t>ALCOCER BALDERAS HUGO OBET</t>
  </si>
  <si>
    <t>POLINA PALACIOS IRMA LETICIA</t>
  </si>
  <si>
    <t>AGUILAR GOMEZ JOSE DANIEL</t>
  </si>
  <si>
    <t>GARCIA PAVAN LUIS ANTONIO</t>
  </si>
  <si>
    <t>REYNA LANDEROS JOSE MELITON</t>
  </si>
  <si>
    <t>VAZQUEZ ALVAREZ MARIA DEL PILAR</t>
  </si>
  <si>
    <t>GONZALEZ CAZARES DAVID OMAR</t>
  </si>
  <si>
    <t>NIETO JUAREZ JOSE LUIS</t>
  </si>
  <si>
    <t>VALDELAMAR GOMEZ OMAR DANIEL</t>
  </si>
  <si>
    <t>GALICIA SALAZAR BRENDA ARCELI</t>
  </si>
  <si>
    <t>CARAPIA BARRAZA DAVID</t>
  </si>
  <si>
    <t>GUTIERREZ GARCIA SAUL</t>
  </si>
  <si>
    <t>FRANCISCO FLORES MIRYAM</t>
  </si>
  <si>
    <t>CASH MANAGEMENT</t>
  </si>
  <si>
    <t>BELTRAN ORTEGA AGUSTIN</t>
  </si>
  <si>
    <t>FLORES MOLINA CESAR</t>
  </si>
  <si>
    <t>MARTINEZ PEREZ MAURICIO</t>
  </si>
  <si>
    <t>RUIZ INCLAN LILIANA</t>
  </si>
  <si>
    <t>PROFESSIONAL &amp; BROADCAST SALES &amp; MARKETING</t>
  </si>
  <si>
    <t>CERVANTES GALICIA BARBARA</t>
  </si>
  <si>
    <t>ITCG PROCUREMENT</t>
  </si>
  <si>
    <t>ALCANTARA PEREZ ISABEL</t>
  </si>
  <si>
    <t>CASTAÑEDA VAZQUEZ ARTURO GIOVANNI</t>
  </si>
  <si>
    <t>RODRIGUEZ RUIZ JORGE LUIS</t>
  </si>
  <si>
    <t>REYES CORTEZ FEDERICO</t>
  </si>
  <si>
    <t>BELMONT ARCE DANIEL ALEJANDRO</t>
  </si>
  <si>
    <t>VILLEGAS RAMIREZ BENJAMIN</t>
  </si>
  <si>
    <t>TERAN MENDOZA OSCAR</t>
  </si>
  <si>
    <t>ESQUIVEL ESPINOSA FERNANDO</t>
  </si>
  <si>
    <t>HERNANDEZ TORRENTERA CARLOS ALBERTO</t>
  </si>
  <si>
    <t>ACOSTA CARRASCO ALEJANDRO</t>
  </si>
  <si>
    <t>ALVARADO IBARRA SANDRA</t>
  </si>
  <si>
    <t>DE LA ROSA HERNANDEZ GRACIELA</t>
  </si>
  <si>
    <t>ALVA CASASOLA JOSE MANUEL</t>
  </si>
  <si>
    <t>MAQUEDA GASSOS SAMUEL LEONARDO</t>
  </si>
  <si>
    <t>PEREZ GARCIA ALVARO</t>
  </si>
  <si>
    <t>RODRIGUEZ MARTINEZ BLANCA JANETH</t>
  </si>
  <si>
    <t>E - COMMERCE</t>
  </si>
  <si>
    <t>ZAVALA BAROJAS DANIELA BETSY</t>
  </si>
  <si>
    <t>TORRES TELLEZ FERNANDO SAUL</t>
  </si>
  <si>
    <t>VELASCO VILLANUEVA ROMAN</t>
  </si>
  <si>
    <t>CANON ACADEMY OPERATIONS</t>
  </si>
  <si>
    <t>CARPIO VARGAS EDUARDO ANTONIO</t>
  </si>
  <si>
    <t>CANTELLANO OROZCO DULCE GUADALUPE</t>
  </si>
  <si>
    <t>SANABRIA MEZA MELANY IRAIS</t>
  </si>
  <si>
    <t>PPS SALES</t>
  </si>
  <si>
    <t>GONZALEZ PANTALEON DIANA VANESSA</t>
  </si>
  <si>
    <t>MONTERROSA CABRERA MARIELA JASCIBA</t>
  </si>
  <si>
    <t>GIL SALINAS MARY CARMEN</t>
  </si>
  <si>
    <t>ARELLANO GUERRERO JUAN PABLO</t>
  </si>
  <si>
    <t>HERNANDEZ GONZALEZ LUIS XAVIER</t>
  </si>
  <si>
    <t>ROJAS CASTILLO CYNTHIA ESTHER</t>
  </si>
  <si>
    <t>ALBARRAN BRAVO JULIO CESAR</t>
  </si>
  <si>
    <t>RODRIGUEZ RODRIGUEZ SERGIO</t>
  </si>
  <si>
    <t>JUAREZ RODRIGUEZ RICARDO</t>
  </si>
  <si>
    <t>VAZQUEZ SERRANO ERICK ARTURO</t>
  </si>
  <si>
    <t>HERNANDEZ PALACIOS JULIO CESAR</t>
  </si>
  <si>
    <t>MORAN MENDOZA ADRIANA</t>
  </si>
  <si>
    <t>GARCIA MAGAÑA HAYDEE ADELAIDA</t>
  </si>
  <si>
    <t>PAREDES BAUTISTA RODRIGO</t>
  </si>
  <si>
    <t>GALAN ALVAREZ ZAIR</t>
  </si>
  <si>
    <t>FINANCE PLANNING</t>
  </si>
  <si>
    <t>MIRANDA CAMILO BERENICE</t>
  </si>
  <si>
    <t>MARTINEZ HUERTA JAIME EDUARDO</t>
  </si>
  <si>
    <t>NEW BUSINESS SALES</t>
  </si>
  <si>
    <t>BECERRIL BALEON MARIO ALBERTO</t>
  </si>
  <si>
    <t>JIMENEZ DIAZ MARIA ANTONIETA</t>
  </si>
  <si>
    <t>MATEOS PALACIOS FERNANDO</t>
  </si>
  <si>
    <t>BAUTISTA FRIAS ITZEL</t>
  </si>
  <si>
    <t>MIRANDA MORALES ADALBERTA</t>
  </si>
  <si>
    <t>JURADO CASTILLO EDUARDO DANIEL</t>
  </si>
  <si>
    <t>CRUZ MEDINA ALAN GUSTAVO</t>
  </si>
  <si>
    <t>REYES MORALES FRANCISCO JAVIER</t>
  </si>
  <si>
    <t>SERRANO GUTIERREZ ALEJANDRO</t>
  </si>
  <si>
    <t>ZARCO ALBARRAN LUIS ANGEL</t>
  </si>
  <si>
    <t>RETAIL SALES</t>
  </si>
  <si>
    <t>OLIVA MARTINEZ FERNANDO ARTURO</t>
  </si>
  <si>
    <t>GARCIA MARTINEZ LUIS ARTURO</t>
  </si>
  <si>
    <t>MONTALVO BOTE MARCO ALBERTO</t>
  </si>
  <si>
    <t>CRUZ RAMIREZ JESUS ANDRES</t>
  </si>
  <si>
    <t>MARQUEZ ALDAVE MARTHA PAULINA</t>
  </si>
  <si>
    <t>CORPORATE COMMUNICATIONS</t>
  </si>
  <si>
    <t>ROMERO ORDOÑEZ PAOLA</t>
  </si>
  <si>
    <t>GARDUÑO RODRIGUEZ LUIS CARLOS</t>
  </si>
  <si>
    <t>GALICIA CRISOSTOMO JOSE CONCEPCION</t>
  </si>
  <si>
    <t>DORANTES ROJAS LUIS JAIR</t>
  </si>
  <si>
    <t>VALERIO BAEZ ALBERTO</t>
  </si>
  <si>
    <t>STRATEGIC ANALYSIS AND OPPORTUNITY MANAGEMENT</t>
  </si>
  <si>
    <t>GARCIA LOPEZ RODOLFO</t>
  </si>
  <si>
    <t>RODRIGUEZ SAUCEDO JUAN ENRIQUE</t>
  </si>
  <si>
    <t>DAL RE DE LUCAS BEATRIZ</t>
  </si>
  <si>
    <t>MARKETING SERVICES</t>
  </si>
  <si>
    <t>SANCHEZ BAUTISTA LUIS JUAN</t>
  </si>
  <si>
    <t>RAVELO OCHOA ADRIANA</t>
  </si>
  <si>
    <t>ALMAZAN MEZA HORACIO OMAR</t>
  </si>
  <si>
    <t>OSORIO URIZA YESUA EMMANUEL</t>
  </si>
  <si>
    <t>GARCIA LORENZO EDITH</t>
  </si>
  <si>
    <t>GOMEZ FLORES ELIZABETH</t>
  </si>
  <si>
    <t>HERNANDEZ BONILLA MIGUEL ANGEL</t>
  </si>
  <si>
    <t>RAMIREZ MONTES DE OCA LAURA</t>
  </si>
  <si>
    <t>PEREZ BELTRAN DANIEL ADRIAN</t>
  </si>
  <si>
    <t>CORNEJO LEGORRETA GIBRAN ADAD</t>
  </si>
  <si>
    <t>SANTOS MORA ALEJANDRA VERONICA</t>
  </si>
  <si>
    <t>ESPINOSA RODRIGUEZ VICTOR AMAURI</t>
  </si>
  <si>
    <t>GUTIERREZ SOTO JOSUE ISRAEL</t>
  </si>
  <si>
    <t>LOPEZ VEGA ANA REGINA</t>
  </si>
  <si>
    <t>MORALES GARCIA DIEGO</t>
  </si>
  <si>
    <t>BALBUENA HERNANDEZ JOSE GUADALUPE</t>
  </si>
  <si>
    <t>GONZALEZ GARCIA ERNESTO</t>
  </si>
  <si>
    <t>COBOS HURTADO LILIANA</t>
  </si>
  <si>
    <t>AVALOS DOMINGUEZ ALEJANDRO</t>
  </si>
  <si>
    <t>RUBIO CABAÑAS MIGUEL OMAR</t>
  </si>
  <si>
    <t>CANDELARIO TORRES EDGAR OMAR</t>
  </si>
  <si>
    <t>HERNANDEZ CHAVEZ SANDRA LUCIA</t>
  </si>
  <si>
    <t>FIGUEROA OLVERA RICARDO ANTONIO</t>
  </si>
  <si>
    <t>MORA ALPIZAR ALEJANDRO</t>
  </si>
  <si>
    <t>PEÑALOZA NORIEGA CARLOS ALBERTO</t>
  </si>
  <si>
    <t>SANCHEZ VIZZUETH AARON</t>
  </si>
  <si>
    <t>CASTELLANOS LUNA ERICK OMAR</t>
  </si>
  <si>
    <t>SANCHEZ ARANGO ERIKA BELEN</t>
  </si>
  <si>
    <t>MARTINEZ MUÑOZ VIRIDIANA</t>
  </si>
  <si>
    <t>CARPIO GIL ANA ROSA</t>
  </si>
  <si>
    <t>BICG DEALERS SALES</t>
  </si>
  <si>
    <t>AGUILAR GONZALEZ SERGIO</t>
  </si>
  <si>
    <t>PEREZ VAZQUEZ ADRIANA</t>
  </si>
  <si>
    <t>PROCUREMENT</t>
  </si>
  <si>
    <t>ROCHA CASTRO MARIO ENRIQUE VICENTE</t>
  </si>
  <si>
    <t>OSORIO CORTES ANDRES</t>
  </si>
  <si>
    <t>DAVILA POCOROBA GENOVEVA BENEDETTA</t>
  </si>
  <si>
    <t>DIGITAL MARKETING &amp; EVENTS</t>
  </si>
  <si>
    <t>VAZQUEZ SANTOS MAURICIO</t>
  </si>
  <si>
    <t>PASCUAL COBOS LAURA LETICIA</t>
  </si>
  <si>
    <t>VERDIN PIÑA JUANA ERIKA LETICIA</t>
  </si>
  <si>
    <t>SERVICE ADMINISTRATION BISG</t>
  </si>
  <si>
    <t>JASSO JIMENEZ CARLOS</t>
  </si>
  <si>
    <t>HEREDIA ARELLANO KARLA</t>
  </si>
  <si>
    <t>MARQUEZ HERNANDEZ SUSANA</t>
  </si>
  <si>
    <t>GONZALEZ MEJIA LUIS ALBERTO</t>
  </si>
  <si>
    <t>HERNANDEZ PORTUGAL LILIANA GISEL</t>
  </si>
  <si>
    <t>MONTES DE OCA ZAVALA LUIS FERNANDO</t>
  </si>
  <si>
    <t>FINANCIAL SERVICES</t>
  </si>
  <si>
    <t>HERNANDEZ GAMERO JOSE MANUEL</t>
  </si>
  <si>
    <t>BUSTOS CASTILLO FRANCISCO JAVIER</t>
  </si>
  <si>
    <t>MARTINEZ REYES JUAN ANTONIO</t>
  </si>
  <si>
    <t>SAMANO ESTRADA JUAN PABLO</t>
  </si>
  <si>
    <t>BENITEZ TORRES AMELLALY AURORA</t>
  </si>
  <si>
    <t>VILLANUEVA GOMEZ EMMA PAOLA</t>
  </si>
  <si>
    <t>AGUILAR ESTEBES GRACIELA KARINA</t>
  </si>
  <si>
    <t>JUAREZ GONZALEZ ENRIQUE</t>
  </si>
  <si>
    <t>GOMEZ SAN JUAN MIRNA</t>
  </si>
  <si>
    <t>TREJO LEON JESUS</t>
  </si>
  <si>
    <t>LOPEZ MARTINEZ STEFANIA</t>
  </si>
  <si>
    <t>LOZANO LOZANO RAYMUNDO</t>
  </si>
  <si>
    <t>MARTINEZ VARGAS MIRIAM</t>
  </si>
  <si>
    <t>ARCE ESCALANTE OSCAR</t>
  </si>
  <si>
    <t>ROMAN NERI NADIA GISELA</t>
  </si>
  <si>
    <t>GODINEZ MACIEL EVA MARIANA</t>
  </si>
  <si>
    <t>FEREGRINO RUIZ NANCY</t>
  </si>
  <si>
    <t>URIBE MARTINEZ DIANA</t>
  </si>
  <si>
    <t>LOPEZ CHAVEZ EDGAR ARTURO</t>
  </si>
  <si>
    <t>GALINDEZ NAJERA JORGE ANTONIO</t>
  </si>
  <si>
    <t>VACA LEYVA DANIELA</t>
  </si>
  <si>
    <t>SANTAMARIA RAMIREZ CESAR</t>
  </si>
  <si>
    <t>FLORES RAMOS JOSEFINA ANGELICA</t>
  </si>
  <si>
    <t>MENDOZA CEDILLO DANIEL JOSHUA</t>
  </si>
  <si>
    <t>VELEZ CARO JUAN DANIEL</t>
  </si>
  <si>
    <t>ORTEGA RUIZ EDWARD</t>
  </si>
  <si>
    <t>VALENCIA MENDOZA LEONARDO</t>
  </si>
  <si>
    <t>BARQUIN OLVERA ALEXA VALVANUZ</t>
  </si>
  <si>
    <t>CORTES GOMEZ KELLY JOHANNA</t>
  </si>
  <si>
    <t>RUIZ RODRIGUEZ ISRAEL ADAN</t>
  </si>
  <si>
    <t>MEJIA MEJIA DIEGO ALBERTO</t>
  </si>
  <si>
    <t>CASTRO JUAREZ EDGAR RAUL</t>
  </si>
  <si>
    <t>MARTINEZ GONZALEZ GUILLERMO</t>
  </si>
  <si>
    <t>VERONICA ARECHIGA CLAUDIA</t>
  </si>
  <si>
    <t>BARJAU OLIVAS LUIS EDGAR</t>
  </si>
  <si>
    <t>RAMIREZ ROMAN VICTOR HUGO</t>
  </si>
  <si>
    <t>MARQUEZ MARTINEZ MARCO ANTONIO</t>
  </si>
  <si>
    <t>CANO OLGUIN FELIPE</t>
  </si>
  <si>
    <t>MALACARA CECEÑA ANA VERONICA</t>
  </si>
  <si>
    <t>ROMERO SEGURA CRISTIAN EDUARDO</t>
  </si>
  <si>
    <t>CABRERA CHING ITALY MONSERRAT</t>
  </si>
  <si>
    <t>PEREZ SOTO DIANA GABRIELA</t>
  </si>
  <si>
    <t>DIAZ RAMIREZ MARIELA</t>
  </si>
  <si>
    <t xml:space="preserve">   Autorizó</t>
  </si>
  <si>
    <t xml:space="preserve">  </t>
  </si>
  <si>
    <t>08:00 a 17:00</t>
  </si>
  <si>
    <t>Nelia Ladron de Guevara</t>
  </si>
  <si>
    <t xml:space="preserve">PRE- AUTORIZACION </t>
  </si>
  <si>
    <t xml:space="preserve">AUTORIZACION </t>
  </si>
  <si>
    <t>Representante de Ventas</t>
  </si>
  <si>
    <t>Mariana Juarez</t>
  </si>
  <si>
    <t>Fecha :</t>
  </si>
  <si>
    <t>Griselda Mosqueda</t>
  </si>
  <si>
    <t>Mabel Carrasco</t>
  </si>
  <si>
    <t>Jesus Ignacio Santos</t>
  </si>
  <si>
    <t>Israel Portillo</t>
  </si>
  <si>
    <t>Karen Beltran</t>
  </si>
  <si>
    <t>Fernando Jimenez</t>
  </si>
  <si>
    <t>Ventura Davalos</t>
  </si>
  <si>
    <t>Oliver Muñoz</t>
  </si>
  <si>
    <t>Leticia Colin</t>
  </si>
  <si>
    <t>Sahiana Melgarejo</t>
  </si>
  <si>
    <t>Kristian Miguel</t>
  </si>
  <si>
    <t>Miguel Moreno</t>
  </si>
  <si>
    <t>Miguel Rojas</t>
  </si>
  <si>
    <t>Alejandro Gutierrez</t>
  </si>
  <si>
    <t>Andres Vazquez</t>
  </si>
  <si>
    <t>Omar Chaidez</t>
  </si>
  <si>
    <t>Laura Yolanda Hernandez</t>
  </si>
  <si>
    <t>Susana Aguilar</t>
  </si>
  <si>
    <t>Sebastian Viedma</t>
  </si>
  <si>
    <t>Miguel Carrasco</t>
  </si>
  <si>
    <t>Directora Senior Administrativa</t>
  </si>
  <si>
    <t>Gerente</t>
  </si>
  <si>
    <t>Elizabeth Segura</t>
  </si>
  <si>
    <t>Advisor</t>
  </si>
  <si>
    <t>New Business Customer Experience</t>
  </si>
  <si>
    <t>Gerente Senior</t>
  </si>
  <si>
    <t>Paola Mejia</t>
  </si>
  <si>
    <t>BISG</t>
  </si>
  <si>
    <t>Carlos Pagaza</t>
  </si>
  <si>
    <t>Miguel Farfan</t>
  </si>
  <si>
    <t>ITCG</t>
  </si>
  <si>
    <t>Yoshie Shibata</t>
  </si>
  <si>
    <t>ITCG Photoshop Sales</t>
  </si>
  <si>
    <t>Carlos Love</t>
  </si>
  <si>
    <t>Daniel Bastida</t>
  </si>
  <si>
    <t>ITCG Retail Sales</t>
  </si>
  <si>
    <t>Eduardo Gutierrez</t>
  </si>
  <si>
    <t>Erika Duenez</t>
  </si>
  <si>
    <t>Elena Sandoval</t>
  </si>
  <si>
    <t>Morihito Eto</t>
  </si>
  <si>
    <t>Maritza Alvarez</t>
  </si>
  <si>
    <t>Directora de Marketing y Planeación Estratégica BICG</t>
  </si>
  <si>
    <t>Guillermo yanezperez</t>
  </si>
  <si>
    <t>Cinthya Rodriguez</t>
  </si>
  <si>
    <t>Director</t>
  </si>
  <si>
    <t>Carlos Martinez</t>
  </si>
  <si>
    <t>David Enriquez</t>
  </si>
  <si>
    <t>Omar Peña</t>
  </si>
  <si>
    <t>Fernanda Rubio</t>
  </si>
  <si>
    <t>Maria Guadalupe Marmolejo</t>
  </si>
  <si>
    <t>Vania Zamudio</t>
  </si>
  <si>
    <t>Representante de ventas</t>
  </si>
  <si>
    <t>Manuel Cardenas</t>
  </si>
  <si>
    <t>Eduardo Carpio</t>
  </si>
  <si>
    <t>C</t>
  </si>
  <si>
    <t>AV670</t>
  </si>
  <si>
    <t>Fernando Cruz</t>
  </si>
  <si>
    <t>Blanca Cruces</t>
  </si>
  <si>
    <t>AV700</t>
  </si>
  <si>
    <t>Luis Zarco</t>
  </si>
  <si>
    <t>ADM</t>
  </si>
  <si>
    <t>Director Senior</t>
  </si>
  <si>
    <t>Juan Bolaños</t>
  </si>
  <si>
    <t>AV710</t>
  </si>
  <si>
    <t>Julien Rousseau</t>
  </si>
  <si>
    <t>Georgina Velazquez</t>
  </si>
  <si>
    <t>Jose Beltran</t>
  </si>
  <si>
    <t xml:space="preserve">E </t>
  </si>
  <si>
    <t xml:space="preserve"> Ventas</t>
  </si>
  <si>
    <t>Morihiro</t>
  </si>
  <si>
    <t>E</t>
  </si>
  <si>
    <t>AA110</t>
  </si>
  <si>
    <t>B</t>
  </si>
  <si>
    <t>Jorge Bonnet</t>
  </si>
  <si>
    <t>Jorge Chavez</t>
  </si>
  <si>
    <t>Patricia Campos</t>
  </si>
  <si>
    <t>Jonathan Cruz</t>
  </si>
  <si>
    <t>Yolanda</t>
  </si>
  <si>
    <t>D</t>
  </si>
  <si>
    <t>AA230</t>
  </si>
  <si>
    <t>Abraham Contreras</t>
  </si>
  <si>
    <t>Presidente</t>
  </si>
  <si>
    <t>Presidency</t>
  </si>
  <si>
    <t>Gerardo Barrera</t>
  </si>
  <si>
    <t>Tonatiuh Castro</t>
  </si>
  <si>
    <t>Miguel Arreola</t>
  </si>
  <si>
    <t>Eduardo Lopez Teran</t>
  </si>
  <si>
    <t>Internal Audit</t>
  </si>
  <si>
    <t>Monica Gonzalez</t>
  </si>
  <si>
    <t>Office Product Sales Marketing</t>
  </si>
  <si>
    <t>Liliana Rangel</t>
  </si>
  <si>
    <t>Pedro Huerta</t>
  </si>
  <si>
    <t>Juan Manuel Hernandez</t>
  </si>
  <si>
    <t>Horario</t>
  </si>
  <si>
    <t>REGRH-005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</si>
</sst>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F800]dddd\,\ mmmm\ dd\,\ yyyy"/>
    <numFmt numFmtId="165" formatCode="h:mm:ss;@"/>
    <numFmt numFmtId="166" formatCode="dddd\ dd"/>
    <numFmt numFmtId="167" formatCode="[$-F400]h:mm:ss\ AM/PM"/>
    <numFmt numFmtId="168" formatCode="_-* #,##0_-;\-* #,##0_-;_-* &quot;-&quot;??_-;_-@_-"/>
    <numFmt numFmtId="169" formatCode="[$-80A]dddd\ d&quot; de &quot;mmmm&quot; de &quot;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1.5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u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Century Gothic"/>
      <family val="2"/>
    </font>
    <font>
      <b/>
      <sz val="10"/>
      <color indexed="8"/>
      <name val="Century Gothic"/>
      <family val="2"/>
    </font>
    <font>
      <sz val="16"/>
      <color theme="1"/>
      <name val="Calibri"/>
      <family val="2"/>
      <scheme val="minor"/>
    </font>
    <font>
      <b/>
      <sz val="14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8">
    <xf numFmtId="0" fontId="0" fillId="0" borderId="0" xfId="0"/>
    <xf numFmtId="0" fontId="0" fillId="0" borderId="0" xfId="0" applyProtection="1">
      <protection hidden="1"/>
    </xf>
    <xf numFmtId="14" fontId="0" fillId="0" borderId="0" xfId="0" applyNumberFormat="1" applyProtection="1">
      <protection hidden="1"/>
    </xf>
    <xf numFmtId="0" fontId="5" fillId="0" borderId="5" xfId="0" applyFont="1" applyBorder="1" applyAlignment="1" applyProtection="1">
      <alignment horizontal="center" vertical="distributed" wrapText="1"/>
      <protection locked="0"/>
    </xf>
    <xf numFmtId="0" fontId="0" fillId="0" borderId="4" xfId="0" applyBorder="1" applyAlignment="1" applyProtection="1">
      <alignment horizontal="centerContinuous" vertical="distributed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Continuous" vertical="distributed" wrapText="1"/>
      <protection locked="0"/>
    </xf>
    <xf numFmtId="0" fontId="6" fillId="0" borderId="0" xfId="0" applyFont="1" applyAlignment="1" applyProtection="1">
      <alignment horizontal="centerContinuous" vertical="center"/>
      <protection locked="0"/>
    </xf>
    <xf numFmtId="20" fontId="0" fillId="0" borderId="0" xfId="1" applyNumberFormat="1" applyFont="1" applyFill="1" applyBorder="1" applyProtection="1">
      <protection locked="0"/>
    </xf>
    <xf numFmtId="20" fontId="0" fillId="0" borderId="0" xfId="1" applyNumberFormat="1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Continuous" vertical="center"/>
      <protection locked="0"/>
    </xf>
    <xf numFmtId="0" fontId="0" fillId="0" borderId="11" xfId="0" applyBorder="1" applyAlignment="1" applyProtection="1">
      <alignment horizontal="centerContinuous" vertical="center"/>
      <protection locked="0"/>
    </xf>
    <xf numFmtId="0" fontId="0" fillId="0" borderId="4" xfId="0" applyBorder="1" applyProtection="1">
      <protection hidden="1"/>
    </xf>
    <xf numFmtId="0" fontId="6" fillId="0" borderId="15" xfId="0" applyFont="1" applyBorder="1" applyAlignment="1" applyProtection="1">
      <alignment horizontal="center" vertical="center"/>
      <protection locked="0"/>
    </xf>
    <xf numFmtId="20" fontId="0" fillId="0" borderId="7" xfId="1" applyNumberFormat="1" applyFont="1" applyFill="1" applyBorder="1" applyProtection="1">
      <protection locked="0"/>
    </xf>
    <xf numFmtId="0" fontId="6" fillId="0" borderId="15" xfId="0" applyFont="1" applyBorder="1" applyAlignment="1" applyProtection="1">
      <alignment horizontal="centerContinuous" vertical="center"/>
      <protection locked="0"/>
    </xf>
    <xf numFmtId="0" fontId="6" fillId="0" borderId="16" xfId="0" applyFont="1" applyBorder="1" applyAlignment="1" applyProtection="1">
      <alignment horizontal="centerContinuous" vertical="center"/>
      <protection locked="0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21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2" xfId="0" applyBorder="1" applyProtection="1">
      <protection hidden="1"/>
    </xf>
    <xf numFmtId="0" fontId="0" fillId="0" borderId="23" xfId="0" applyBorder="1" applyProtection="1">
      <protection hidden="1"/>
    </xf>
    <xf numFmtId="20" fontId="12" fillId="0" borderId="0" xfId="1" applyNumberFormat="1" applyFont="1" applyFill="1" applyBorder="1" applyProtection="1">
      <protection locked="0"/>
    </xf>
    <xf numFmtId="20" fontId="12" fillId="0" borderId="0" xfId="1" applyNumberFormat="1" applyFont="1" applyFill="1" applyBorder="1" applyAlignment="1" applyProtection="1">
      <protection locked="0"/>
    </xf>
    <xf numFmtId="20" fontId="12" fillId="0" borderId="0" xfId="1" applyNumberFormat="1" applyFont="1" applyFill="1" applyBorder="1" applyAlignment="1" applyProtection="1">
      <alignment horizontal="center"/>
      <protection locked="0"/>
    </xf>
    <xf numFmtId="0" fontId="10" fillId="0" borderId="4" xfId="0" applyFont="1" applyBorder="1" applyAlignment="1" applyProtection="1">
      <alignment horizontal="centerContinuous" vertical="distributed" wrapText="1"/>
      <protection locked="0"/>
    </xf>
    <xf numFmtId="0" fontId="12" fillId="0" borderId="0" xfId="0" applyFont="1" applyAlignment="1" applyProtection="1">
      <alignment horizontal="centerContinuous" vertical="distributed" wrapText="1"/>
      <protection locked="0"/>
    </xf>
    <xf numFmtId="0" fontId="3" fillId="0" borderId="0" xfId="0" applyFont="1" applyProtection="1">
      <protection hidden="1"/>
    </xf>
    <xf numFmtId="0" fontId="4" fillId="2" borderId="0" xfId="0" applyFont="1" applyFill="1" applyAlignment="1" applyProtection="1">
      <alignment horizontal="centerContinuous" vertical="center"/>
      <protection hidden="1"/>
    </xf>
    <xf numFmtId="0" fontId="16" fillId="2" borderId="0" xfId="0" applyFont="1" applyFill="1" applyAlignment="1" applyProtection="1">
      <alignment horizontal="centerContinuous" vertical="center"/>
      <protection hidden="1"/>
    </xf>
    <xf numFmtId="0" fontId="5" fillId="0" borderId="0" xfId="0" applyFont="1" applyProtection="1">
      <protection hidden="1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left"/>
      <protection hidden="1"/>
    </xf>
    <xf numFmtId="164" fontId="0" fillId="0" borderId="0" xfId="0" applyNumberFormat="1" applyAlignment="1" applyProtection="1">
      <alignment horizontal="centerContinuous" vertical="distributed" wrapText="1"/>
      <protection locked="0"/>
    </xf>
    <xf numFmtId="0" fontId="0" fillId="2" borderId="0" xfId="0" applyFill="1" applyProtection="1">
      <protection hidden="1"/>
    </xf>
    <xf numFmtId="0" fontId="17" fillId="0" borderId="0" xfId="0" applyFont="1" applyProtection="1">
      <protection hidden="1"/>
    </xf>
    <xf numFmtId="0" fontId="6" fillId="0" borderId="4" xfId="0" applyFont="1" applyBorder="1" applyAlignment="1" applyProtection="1">
      <alignment horizontal="centerContinuous" vertical="center"/>
      <protection locked="0"/>
    </xf>
    <xf numFmtId="0" fontId="0" fillId="0" borderId="4" xfId="0" applyBorder="1" applyAlignment="1" applyProtection="1">
      <alignment horizontal="centerContinuous" vertical="center"/>
      <protection locked="0"/>
    </xf>
    <xf numFmtId="0" fontId="0" fillId="0" borderId="0" xfId="0" applyAlignment="1" applyProtection="1">
      <alignment horizontal="centerContinuous" vertical="center"/>
      <protection locked="0"/>
    </xf>
    <xf numFmtId="0" fontId="5" fillId="0" borderId="26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20" fontId="0" fillId="0" borderId="26" xfId="1" applyNumberFormat="1" applyFont="1" applyBorder="1" applyProtection="1">
      <protection locked="0"/>
    </xf>
    <xf numFmtId="20" fontId="0" fillId="2" borderId="26" xfId="1" applyNumberFormat="1" applyFont="1" applyFill="1" applyBorder="1" applyProtection="1">
      <protection hidden="1"/>
    </xf>
    <xf numFmtId="20" fontId="0" fillId="2" borderId="5" xfId="1" applyNumberFormat="1" applyFont="1" applyFill="1" applyBorder="1" applyProtection="1">
      <protection hidden="1"/>
    </xf>
    <xf numFmtId="167" fontId="0" fillId="0" borderId="0" xfId="0" applyNumberFormat="1" applyProtection="1">
      <protection hidden="1"/>
    </xf>
    <xf numFmtId="20" fontId="0" fillId="0" borderId="0" xfId="0" applyNumberFormat="1" applyProtection="1">
      <protection hidden="1"/>
    </xf>
    <xf numFmtId="20" fontId="0" fillId="0" borderId="2" xfId="1" applyNumberFormat="1" applyFont="1" applyBorder="1" applyProtection="1">
      <protection locked="0"/>
    </xf>
    <xf numFmtId="168" fontId="0" fillId="0" borderId="3" xfId="1" applyNumberFormat="1" applyFont="1" applyBorder="1" applyProtection="1">
      <protection locked="0"/>
    </xf>
    <xf numFmtId="43" fontId="0" fillId="2" borderId="5" xfId="1" applyFont="1" applyFill="1" applyBorder="1" applyProtection="1">
      <protection hidden="1"/>
    </xf>
    <xf numFmtId="20" fontId="0" fillId="0" borderId="3" xfId="1" applyNumberFormat="1" applyFont="1" applyBorder="1" applyProtection="1">
      <protection locked="0"/>
    </xf>
    <xf numFmtId="0" fontId="7" fillId="0" borderId="0" xfId="0" applyFont="1" applyProtection="1"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8" fillId="0" borderId="0" xfId="0" applyFont="1" applyAlignment="1" applyProtection="1">
      <alignment horizontal="right"/>
      <protection hidden="1"/>
    </xf>
    <xf numFmtId="0" fontId="15" fillId="2" borderId="0" xfId="0" applyFont="1" applyFill="1" applyAlignment="1" applyProtection="1">
      <alignment horizontal="left" vertical="center"/>
      <protection hidden="1"/>
    </xf>
    <xf numFmtId="0" fontId="5" fillId="0" borderId="22" xfId="0" applyFont="1" applyBorder="1" applyAlignment="1" applyProtection="1">
      <alignment horizontal="centerContinuous"/>
      <protection hidden="1"/>
    </xf>
    <xf numFmtId="0" fontId="0" fillId="0" borderId="23" xfId="0" applyBorder="1" applyAlignment="1" applyProtection="1">
      <alignment horizontal="centerContinuous"/>
      <protection hidden="1"/>
    </xf>
    <xf numFmtId="0" fontId="5" fillId="0" borderId="23" xfId="0" applyFont="1" applyBorder="1" applyAlignment="1" applyProtection="1">
      <alignment horizontal="center" vertical="center" wrapText="1"/>
      <protection hidden="1"/>
    </xf>
    <xf numFmtId="20" fontId="0" fillId="0" borderId="26" xfId="0" applyNumberFormat="1" applyBorder="1" applyProtection="1">
      <protection locked="0"/>
    </xf>
    <xf numFmtId="20" fontId="0" fillId="0" borderId="28" xfId="0" applyNumberFormat="1" applyBorder="1" applyProtection="1">
      <protection locked="0"/>
    </xf>
    <xf numFmtId="0" fontId="0" fillId="0" borderId="28" xfId="0" applyBorder="1" applyProtection="1">
      <protection locked="0"/>
    </xf>
    <xf numFmtId="0" fontId="5" fillId="2" borderId="26" xfId="0" applyFont="1" applyFill="1" applyBorder="1" applyAlignment="1" applyProtection="1">
      <alignment horizontal="centerContinuous" vertical="center" wrapText="1"/>
      <protection hidden="1"/>
    </xf>
    <xf numFmtId="0" fontId="0" fillId="2" borderId="28" xfId="0" applyFill="1" applyBorder="1" applyAlignment="1" applyProtection="1">
      <alignment horizontal="centerContinuous" vertical="center" wrapText="1"/>
      <protection hidden="1"/>
    </xf>
    <xf numFmtId="0" fontId="5" fillId="2" borderId="11" xfId="0" applyFont="1" applyFill="1" applyBorder="1" applyAlignment="1" applyProtection="1">
      <alignment horizontal="centerContinuous" vertical="center" wrapText="1"/>
      <protection hidden="1"/>
    </xf>
    <xf numFmtId="0" fontId="0" fillId="2" borderId="11" xfId="0" applyFill="1" applyBorder="1" applyAlignment="1" applyProtection="1">
      <alignment horizontal="centerContinuous" vertical="center" wrapText="1"/>
      <protection hidden="1"/>
    </xf>
    <xf numFmtId="0" fontId="5" fillId="2" borderId="5" xfId="0" applyFont="1" applyFill="1" applyBorder="1" applyAlignment="1" applyProtection="1">
      <alignment horizontal="centerContinuous" vertical="center" wrapText="1"/>
      <protection hidden="1"/>
    </xf>
    <xf numFmtId="0" fontId="5" fillId="3" borderId="0" xfId="0" applyFont="1" applyFill="1" applyAlignment="1" applyProtection="1">
      <alignment horizontal="centerContinuous" vertical="center" wrapText="1"/>
      <protection hidden="1"/>
    </xf>
    <xf numFmtId="0" fontId="0" fillId="3" borderId="0" xfId="0" applyFill="1" applyAlignment="1" applyProtection="1">
      <alignment horizontal="centerContinuous" vertical="center" wrapText="1"/>
      <protection hidden="1"/>
    </xf>
    <xf numFmtId="0" fontId="5" fillId="2" borderId="0" xfId="0" applyFont="1" applyFill="1" applyProtection="1">
      <protection hidden="1"/>
    </xf>
    <xf numFmtId="0" fontId="0" fillId="0" borderId="26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Alignment="1" applyProtection="1">
      <alignment horizontal="centerContinuous" vertical="center" wrapText="1"/>
      <protection locked="0"/>
    </xf>
    <xf numFmtId="0" fontId="15" fillId="2" borderId="0" xfId="0" applyFont="1" applyFill="1" applyAlignment="1" applyProtection="1">
      <alignment horizontal="centerContinuous" vertical="distributed" wrapText="1"/>
      <protection hidden="1"/>
    </xf>
    <xf numFmtId="0" fontId="0" fillId="2" borderId="0" xfId="0" applyFill="1" applyAlignment="1" applyProtection="1">
      <alignment horizontal="centerContinuous" vertical="distributed" wrapText="1"/>
      <protection hidden="1"/>
    </xf>
    <xf numFmtId="0" fontId="5" fillId="0" borderId="0" xfId="0" applyFont="1" applyAlignment="1" applyProtection="1">
      <alignment horizontal="centerContinuous" vertical="distributed" wrapText="1"/>
      <protection hidden="1"/>
    </xf>
    <xf numFmtId="0" fontId="0" fillId="0" borderId="0" xfId="0" applyAlignment="1" applyProtection="1">
      <alignment horizont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0" fontId="7" fillId="0" borderId="5" xfId="0" applyFont="1" applyBorder="1" applyProtection="1">
      <protection hidden="1"/>
    </xf>
    <xf numFmtId="1" fontId="19" fillId="4" borderId="0" xfId="0" applyNumberFormat="1" applyFont="1" applyFill="1" applyAlignment="1">
      <alignment vertical="top"/>
    </xf>
    <xf numFmtId="0" fontId="19" fillId="4" borderId="0" xfId="0" applyFont="1" applyFill="1" applyAlignment="1">
      <alignment vertical="top"/>
    </xf>
    <xf numFmtId="166" fontId="0" fillId="0" borderId="0" xfId="0" applyNumberFormat="1" applyProtection="1">
      <protection hidden="1"/>
    </xf>
    <xf numFmtId="169" fontId="0" fillId="0" borderId="0" xfId="0" applyNumberFormat="1" applyAlignment="1" applyProtection="1">
      <alignment horizontal="left"/>
      <protection hidden="1"/>
    </xf>
    <xf numFmtId="1" fontId="20" fillId="4" borderId="0" xfId="0" applyNumberFormat="1" applyFont="1" applyFill="1" applyAlignment="1">
      <alignment vertical="top"/>
    </xf>
    <xf numFmtId="0" fontId="0" fillId="0" borderId="29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31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36" xfId="0" applyBorder="1" applyProtection="1">
      <protection locked="0"/>
    </xf>
    <xf numFmtId="0" fontId="4" fillId="0" borderId="36" xfId="0" applyFont="1" applyBorder="1" applyAlignment="1" applyProtection="1">
      <alignment vertical="center"/>
      <protection locked="0"/>
    </xf>
    <xf numFmtId="0" fontId="15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14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0" fontId="9" fillId="0" borderId="16" xfId="0" applyFont="1" applyBorder="1" applyProtection="1">
      <protection locked="0"/>
    </xf>
    <xf numFmtId="0" fontId="0" fillId="0" borderId="6" xfId="0" applyBorder="1" applyProtection="1"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Protection="1">
      <protection locked="0"/>
    </xf>
    <xf numFmtId="0" fontId="12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3" fillId="0" borderId="6" xfId="0" applyFont="1" applyBorder="1" applyProtection="1">
      <protection locked="0"/>
    </xf>
    <xf numFmtId="0" fontId="3" fillId="0" borderId="0" xfId="0" applyFont="1" applyProtection="1">
      <protection locked="0"/>
    </xf>
    <xf numFmtId="43" fontId="12" fillId="0" borderId="0" xfId="1" applyFont="1" applyFill="1" applyBorder="1" applyProtection="1">
      <protection locked="0"/>
    </xf>
    <xf numFmtId="43" fontId="0" fillId="0" borderId="0" xfId="1" applyFont="1" applyFill="1" applyBorder="1" applyProtection="1">
      <protection locked="0"/>
    </xf>
    <xf numFmtId="2" fontId="0" fillId="0" borderId="0" xfId="1" applyNumberFormat="1" applyFont="1" applyFill="1" applyBorder="1" applyAlignment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2" fillId="0" borderId="35" xfId="0" applyFont="1" applyBorder="1" applyProtection="1">
      <protection locked="0"/>
    </xf>
    <xf numFmtId="0" fontId="12" fillId="0" borderId="0" xfId="0" applyFont="1" applyAlignment="1" applyProtection="1">
      <alignment vertical="distributed" wrapText="1"/>
      <protection locked="0"/>
    </xf>
    <xf numFmtId="0" fontId="12" fillId="0" borderId="36" xfId="0" applyFont="1" applyBorder="1" applyProtection="1">
      <protection locked="0"/>
    </xf>
    <xf numFmtId="0" fontId="10" fillId="0" borderId="35" xfId="0" applyFont="1" applyBorder="1" applyProtection="1">
      <protection locked="0"/>
    </xf>
    <xf numFmtId="0" fontId="13" fillId="0" borderId="0" xfId="0" applyFont="1" applyAlignment="1" applyProtection="1">
      <alignment horizontal="centerContinuous" vertical="distributed" wrapText="1"/>
      <protection locked="0"/>
    </xf>
    <xf numFmtId="0" fontId="13" fillId="0" borderId="0" xfId="0" applyFont="1" applyAlignment="1" applyProtection="1">
      <alignment horizontal="center" vertical="distributed" wrapText="1"/>
      <protection locked="0"/>
    </xf>
    <xf numFmtId="0" fontId="13" fillId="0" borderId="0" xfId="0" applyFont="1" applyAlignment="1" applyProtection="1">
      <alignment vertical="distributed" wrapText="1"/>
      <protection locked="0"/>
    </xf>
    <xf numFmtId="0" fontId="10" fillId="0" borderId="36" xfId="0" applyFont="1" applyBorder="1" applyProtection="1">
      <protection locked="0"/>
    </xf>
    <xf numFmtId="0" fontId="13" fillId="0" borderId="0" xfId="0" applyFont="1" applyAlignment="1" applyProtection="1">
      <alignment horizontal="left" vertical="distributed" wrapText="1"/>
      <protection locked="0"/>
    </xf>
    <xf numFmtId="0" fontId="5" fillId="0" borderId="0" xfId="0" applyFont="1" applyAlignment="1" applyProtection="1">
      <alignment horizontal="center" vertical="distributed" wrapText="1"/>
      <protection locked="0"/>
    </xf>
    <xf numFmtId="0" fontId="5" fillId="0" borderId="0" xfId="0" applyFont="1" applyAlignment="1" applyProtection="1">
      <alignment horizontal="centerContinuous" vertical="distributed" wrapText="1"/>
      <protection locked="0"/>
    </xf>
    <xf numFmtId="0" fontId="5" fillId="0" borderId="0" xfId="0" applyFont="1" applyAlignment="1" applyProtection="1">
      <alignment horizontal="left" vertical="distributed" wrapText="1"/>
      <protection locked="0"/>
    </xf>
    <xf numFmtId="0" fontId="5" fillId="0" borderId="0" xfId="0" applyFont="1" applyAlignment="1" applyProtection="1">
      <alignment vertical="distributed" wrapText="1"/>
      <protection locked="0"/>
    </xf>
    <xf numFmtId="0" fontId="0" fillId="0" borderId="37" xfId="0" applyBorder="1" applyProtection="1">
      <protection locked="0"/>
    </xf>
    <xf numFmtId="0" fontId="5" fillId="0" borderId="4" xfId="0" applyFont="1" applyBorder="1" applyAlignment="1" applyProtection="1">
      <alignment horizontal="center" vertical="distributed" wrapText="1"/>
      <protection locked="0"/>
    </xf>
    <xf numFmtId="0" fontId="5" fillId="0" borderId="4" xfId="0" applyFont="1" applyBorder="1" applyAlignment="1" applyProtection="1">
      <alignment horizontal="centerContinuous" vertical="distributed" wrapText="1"/>
      <protection locked="0"/>
    </xf>
    <xf numFmtId="0" fontId="5" fillId="0" borderId="4" xfId="0" applyFont="1" applyBorder="1" applyAlignment="1" applyProtection="1">
      <alignment horizontal="left" vertical="distributed" wrapText="1"/>
      <protection locked="0"/>
    </xf>
    <xf numFmtId="0" fontId="5" fillId="0" borderId="4" xfId="0" applyFont="1" applyBorder="1" applyAlignment="1" applyProtection="1">
      <alignment vertical="distributed" wrapText="1"/>
      <protection locked="0"/>
    </xf>
    <xf numFmtId="0" fontId="0" fillId="0" borderId="38" xfId="0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3" fontId="10" fillId="0" borderId="0" xfId="1" applyFont="1" applyFill="1" applyBorder="1" applyAlignment="1" applyProtection="1">
      <protection locked="0"/>
    </xf>
    <xf numFmtId="43" fontId="0" fillId="0" borderId="0" xfId="1" applyFont="1" applyFill="1" applyBorder="1" applyAlignment="1" applyProtection="1">
      <protection locked="0"/>
    </xf>
    <xf numFmtId="0" fontId="0" fillId="0" borderId="8" xfId="0" applyBorder="1" applyProtection="1">
      <protection locked="0"/>
    </xf>
    <xf numFmtId="0" fontId="7" fillId="0" borderId="9" xfId="0" applyFont="1" applyBorder="1" applyProtection="1">
      <protection locked="0"/>
    </xf>
    <xf numFmtId="0" fontId="10" fillId="0" borderId="4" xfId="0" applyFont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0" borderId="0" xfId="0" applyFont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0" fontId="0" fillId="0" borderId="32" xfId="0" applyBorder="1" applyProtection="1">
      <protection locked="0"/>
    </xf>
    <xf numFmtId="0" fontId="0" fillId="0" borderId="33" xfId="0" applyBorder="1" applyProtection="1">
      <protection locked="0"/>
    </xf>
    <xf numFmtId="0" fontId="0" fillId="0" borderId="33" xfId="0" applyBorder="1" applyAlignment="1" applyProtection="1">
      <alignment horizontal="center"/>
      <protection locked="0"/>
    </xf>
    <xf numFmtId="0" fontId="0" fillId="0" borderId="34" xfId="0" applyBorder="1" applyProtection="1">
      <protection locked="0"/>
    </xf>
    <xf numFmtId="0" fontId="10" fillId="0" borderId="0" xfId="0" applyFont="1"/>
    <xf numFmtId="0" fontId="13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left"/>
      <protection locked="0"/>
    </xf>
    <xf numFmtId="0" fontId="21" fillId="0" borderId="0" xfId="0" applyFont="1" applyAlignment="1" applyProtection="1">
      <alignment horizontal="left"/>
      <protection hidden="1"/>
    </xf>
    <xf numFmtId="0" fontId="12" fillId="0" borderId="0" xfId="0" applyFont="1" applyAlignment="1" applyProtection="1">
      <alignment horizontal="center" vertical="distributed" wrapText="1"/>
      <protection hidden="1"/>
    </xf>
    <xf numFmtId="0" fontId="12" fillId="0" borderId="0" xfId="0" applyFont="1" applyAlignment="1" applyProtection="1">
      <alignment vertical="distributed" wrapText="1"/>
      <protection hidden="1"/>
    </xf>
    <xf numFmtId="164" fontId="11" fillId="0" borderId="0" xfId="0" applyNumberFormat="1" applyFont="1" applyAlignment="1" applyProtection="1">
      <alignment horizontal="center" vertical="distributed" wrapText="1"/>
      <protection locked="0"/>
    </xf>
    <xf numFmtId="164" fontId="11" fillId="0" borderId="0" xfId="0" applyNumberFormat="1" applyFont="1" applyAlignment="1" applyProtection="1">
      <alignment horizontal="center" vertical="distributed" wrapText="1"/>
      <protection hidden="1"/>
    </xf>
    <xf numFmtId="0" fontId="0" fillId="0" borderId="0" xfId="0" applyAlignment="1" applyProtection="1">
      <alignment horizontal="left" vertical="distributed" wrapText="1"/>
      <protection locked="0"/>
    </xf>
    <xf numFmtId="20" fontId="12" fillId="0" borderId="4" xfId="1" applyNumberFormat="1" applyFont="1" applyFill="1" applyBorder="1" applyProtection="1">
      <protection locked="0"/>
    </xf>
    <xf numFmtId="20" fontId="0" fillId="0" borderId="4" xfId="1" applyNumberFormat="1" applyFont="1" applyFill="1" applyBorder="1" applyProtection="1">
      <protection locked="0"/>
    </xf>
    <xf numFmtId="164" fontId="12" fillId="0" borderId="7" xfId="1" applyNumberFormat="1" applyFont="1" applyFill="1" applyBorder="1" applyAlignment="1" applyProtection="1">
      <protection locked="0"/>
    </xf>
    <xf numFmtId="20" fontId="0" fillId="0" borderId="0" xfId="1" applyNumberFormat="1" applyFont="1" applyFill="1" applyBorder="1" applyAlignment="1" applyProtection="1">
      <alignment vertical="center" wrapText="1"/>
      <protection locked="0"/>
    </xf>
    <xf numFmtId="0" fontId="12" fillId="0" borderId="2" xfId="0" applyFont="1" applyBorder="1" applyProtection="1"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vertical="center"/>
      <protection locked="0"/>
    </xf>
    <xf numFmtId="43" fontId="3" fillId="0" borderId="0" xfId="0" applyNumberFormat="1" applyFont="1" applyAlignment="1" applyProtection="1">
      <alignment horizontal="center" vertical="distributed" wrapText="1"/>
      <protection hidden="1"/>
    </xf>
    <xf numFmtId="43" fontId="3" fillId="0" borderId="24" xfId="0" applyNumberFormat="1" applyFont="1" applyBorder="1" applyAlignment="1" applyProtection="1">
      <alignment horizontal="center" vertical="distributed" wrapText="1"/>
      <protection hidden="1"/>
    </xf>
    <xf numFmtId="0" fontId="15" fillId="0" borderId="0" xfId="0" applyFont="1" applyAlignment="1" applyProtection="1">
      <alignment horizontal="center"/>
      <protection locked="0"/>
    </xf>
    <xf numFmtId="164" fontId="11" fillId="0" borderId="0" xfId="0" applyNumberFormat="1" applyFont="1" applyAlignment="1" applyProtection="1">
      <alignment horizontal="center" vertical="distributed" wrapText="1"/>
      <protection locked="0"/>
    </xf>
    <xf numFmtId="164" fontId="11" fillId="0" borderId="0" xfId="0" applyNumberFormat="1" applyFont="1" applyAlignment="1" applyProtection="1">
      <alignment horizontal="center" vertical="distributed" wrapText="1"/>
      <protection locked="0" hidden="1"/>
    </xf>
    <xf numFmtId="20" fontId="10" fillId="0" borderId="0" xfId="1" applyNumberFormat="1" applyFont="1" applyFill="1" applyBorder="1" applyAlignment="1" applyProtection="1">
      <alignment horizontal="left" vertical="center" wrapText="1"/>
      <protection locked="0"/>
    </xf>
    <xf numFmtId="2" fontId="24" fillId="0" borderId="6" xfId="1" applyNumberFormat="1" applyFont="1" applyFill="1" applyBorder="1" applyAlignment="1" applyProtection="1">
      <alignment horizontal="center" vertical="center" wrapText="1"/>
      <protection hidden="1"/>
    </xf>
    <xf numFmtId="2" fontId="24" fillId="0" borderId="0" xfId="1" applyNumberFormat="1" applyFont="1" applyFill="1" applyBorder="1" applyAlignment="1" applyProtection="1">
      <alignment horizontal="center" vertical="center" wrapText="1"/>
      <protection hidden="1"/>
    </xf>
    <xf numFmtId="2" fontId="24" fillId="0" borderId="7" xfId="1" applyNumberFormat="1" applyFont="1" applyFill="1" applyBorder="1" applyAlignment="1" applyProtection="1">
      <alignment horizontal="center" vertical="center" wrapText="1"/>
      <protection hidden="1"/>
    </xf>
    <xf numFmtId="2" fontId="24" fillId="0" borderId="8" xfId="1" applyNumberFormat="1" applyFont="1" applyFill="1" applyBorder="1" applyAlignment="1" applyProtection="1">
      <alignment horizontal="center" vertical="center" wrapText="1"/>
      <protection hidden="1"/>
    </xf>
    <xf numFmtId="2" fontId="24" fillId="0" borderId="9" xfId="1" applyNumberFormat="1" applyFont="1" applyFill="1" applyBorder="1" applyAlignment="1" applyProtection="1">
      <alignment horizontal="center" vertical="center" wrapText="1"/>
      <protection hidden="1"/>
    </xf>
    <xf numFmtId="2" fontId="24" fillId="0" borderId="10" xfId="1" applyNumberFormat="1" applyFont="1" applyFill="1" applyBorder="1" applyAlignment="1" applyProtection="1">
      <alignment horizontal="center" vertical="center" wrapText="1"/>
      <protection hidden="1"/>
    </xf>
    <xf numFmtId="164" fontId="12" fillId="0" borderId="0" xfId="1" applyNumberFormat="1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distributed" wrapText="1"/>
      <protection locked="0"/>
    </xf>
    <xf numFmtId="165" fontId="12" fillId="0" borderId="0" xfId="1" applyNumberFormat="1" applyFont="1" applyFill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center" vertical="distributed" wrapText="1"/>
      <protection hidden="1"/>
    </xf>
    <xf numFmtId="0" fontId="4" fillId="2" borderId="0" xfId="0" applyFont="1" applyFill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left" vertical="top" wrapText="1"/>
      <protection locked="0"/>
    </xf>
    <xf numFmtId="2" fontId="0" fillId="0" borderId="12" xfId="1" applyNumberFormat="1" applyFont="1" applyFill="1" applyBorder="1" applyAlignment="1" applyProtection="1">
      <alignment horizontal="center"/>
      <protection hidden="1"/>
    </xf>
    <xf numFmtId="2" fontId="0" fillId="0" borderId="14" xfId="1" applyNumberFormat="1" applyFont="1" applyFill="1" applyBorder="1" applyAlignment="1" applyProtection="1">
      <alignment horizontal="center"/>
      <protection hidden="1"/>
    </xf>
    <xf numFmtId="2" fontId="0" fillId="0" borderId="13" xfId="1" applyNumberFormat="1" applyFont="1" applyFill="1" applyBorder="1" applyAlignment="1" applyProtection="1">
      <alignment horizontal="center"/>
      <protection hidden="1"/>
    </xf>
    <xf numFmtId="2" fontId="0" fillId="0" borderId="6" xfId="1" applyNumberFormat="1" applyFont="1" applyFill="1" applyBorder="1" applyAlignment="1" applyProtection="1">
      <alignment horizontal="left"/>
      <protection locked="0"/>
    </xf>
    <xf numFmtId="2" fontId="0" fillId="0" borderId="0" xfId="1" applyNumberFormat="1" applyFont="1" applyFill="1" applyBorder="1" applyAlignment="1" applyProtection="1">
      <alignment horizontal="left"/>
      <protection locked="0"/>
    </xf>
    <xf numFmtId="2" fontId="0" fillId="0" borderId="7" xfId="1" applyNumberFormat="1" applyFont="1" applyFill="1" applyBorder="1" applyAlignment="1" applyProtection="1">
      <alignment horizontal="left"/>
      <protection locked="0"/>
    </xf>
    <xf numFmtId="0" fontId="21" fillId="0" borderId="0" xfId="0" applyFont="1" applyAlignment="1" applyProtection="1">
      <alignment horizontal="left"/>
      <protection hidden="1"/>
    </xf>
    <xf numFmtId="0" fontId="1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164" fontId="11" fillId="0" borderId="36" xfId="0" applyNumberFormat="1" applyFont="1" applyBorder="1" applyAlignment="1" applyProtection="1">
      <alignment horizontal="center" vertical="distributed" wrapText="1"/>
      <protection locked="0"/>
    </xf>
    <xf numFmtId="0" fontId="21" fillId="0" borderId="0" xfId="0" applyFont="1" applyAlignment="1" applyProtection="1">
      <alignment horizontal="left"/>
      <protection locked="0"/>
    </xf>
    <xf numFmtId="164" fontId="12" fillId="0" borderId="4" xfId="1" applyNumberFormat="1" applyFont="1" applyFill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 vertical="distributed" wrapText="1"/>
      <protection locked="0"/>
    </xf>
    <xf numFmtId="165" fontId="12" fillId="0" borderId="11" xfId="1" applyNumberFormat="1" applyFon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left" vertical="distributed" wrapText="1"/>
      <protection locked="0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8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distributed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166" fontId="13" fillId="0" borderId="1" xfId="0" applyNumberFormat="1" applyFont="1" applyBorder="1" applyAlignment="1" applyProtection="1">
      <alignment horizontal="center" vertical="distributed" wrapText="1"/>
      <protection hidden="1"/>
    </xf>
    <xf numFmtId="166" fontId="13" fillId="0" borderId="2" xfId="0" applyNumberFormat="1" applyFont="1" applyBorder="1" applyAlignment="1" applyProtection="1">
      <alignment horizontal="center" vertical="distributed" wrapText="1"/>
      <protection hidden="1"/>
    </xf>
    <xf numFmtId="166" fontId="13" fillId="0" borderId="3" xfId="0" applyNumberFormat="1" applyFont="1" applyBorder="1" applyAlignment="1" applyProtection="1">
      <alignment horizontal="center" vertical="distributed" wrapText="1"/>
      <protection hidden="1"/>
    </xf>
    <xf numFmtId="0" fontId="5" fillId="0" borderId="25" xfId="0" applyFont="1" applyBorder="1" applyAlignment="1" applyProtection="1">
      <alignment horizontal="center" vertical="center" wrapText="1"/>
      <protection hidden="1"/>
    </xf>
    <xf numFmtId="0" fontId="5" fillId="0" borderId="27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distributed" wrapText="1"/>
      <protection hidden="1"/>
    </xf>
    <xf numFmtId="0" fontId="5" fillId="0" borderId="2" xfId="0" applyFont="1" applyBorder="1" applyAlignment="1" applyProtection="1">
      <alignment horizontal="center" vertical="distributed" wrapText="1"/>
      <protection hidden="1"/>
    </xf>
    <xf numFmtId="0" fontId="5" fillId="0" borderId="3" xfId="0" applyFont="1" applyBorder="1" applyAlignment="1" applyProtection="1">
      <alignment horizontal="center" vertical="distributed" wrapText="1"/>
      <protection hidden="1"/>
    </xf>
  </cellXfs>
  <cellStyles count="2">
    <cellStyle name="Millares" xfId="1" builtinId="3"/>
    <cellStyle name="Normal" xfId="0" builtinId="0"/>
  </cellStyles>
  <dxfs count="2">
    <dxf>
      <fill>
        <patternFill>
          <bgColor rgb="FFFF0000"/>
        </patternFill>
      </fill>
    </dxf>
    <dxf>
      <fill>
        <patternFill patternType="solid">
          <fgColor auto="1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170246</xdr:colOff>
      <xdr:row>2</xdr:row>
      <xdr:rowOff>178050</xdr:rowOff>
    </xdr:from>
    <xdr:to>
      <xdr:col>9</xdr:col>
      <xdr:colOff>86783</xdr:colOff>
      <xdr:row>4</xdr:row>
      <xdr:rowOff>44824</xdr:rowOff>
    </xdr:to>
    <xdr:pic>
      <xdr:nvPicPr>
        <xdr:cNvPr id="2" name="Picture 10" descr="C400">
          <a:extLst>
            <a:ext uri="{FF2B5EF4-FFF2-40B4-BE49-F238E27FC236}">
              <a16:creationId xmlns:a16="http://schemas.microsoft.com/office/drawing/2014/main" id="{74CAA986-1CB9-4A48-A7AC-4B47B637D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1187" y="278903"/>
          <a:ext cx="1429331" cy="5951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42337</xdr:colOff>
      <xdr:row>1</xdr:row>
      <xdr:rowOff>21168</xdr:rowOff>
    </xdr:from>
    <xdr:to>
      <xdr:col>3</xdr:col>
      <xdr:colOff>637665</xdr:colOff>
      <xdr:row>3</xdr:row>
      <xdr:rowOff>211667</xdr:rowOff>
    </xdr:to>
    <xdr:pic>
      <xdr:nvPicPr>
        <xdr:cNvPr id="2" name="Picture 10" descr="C400">
          <a:extLst>
            <a:ext uri="{FF2B5EF4-FFF2-40B4-BE49-F238E27FC236}">
              <a16:creationId xmlns:a16="http://schemas.microsoft.com/office/drawing/2014/main" id="{D70170AA-509F-4231-9299-887F968F8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487" y="78318"/>
          <a:ext cx="1519253" cy="4000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409E-0685-4CAB-ADCC-85FD1134AEA1}">
  <dimension ref="C1:AR82"/>
  <sheetViews>
    <sheetView showGridLines="0" tabSelected="1" topLeftCell="A61" zoomScale="70" zoomScaleNormal="70" workbookViewId="0">
      <selection activeCell="AM82" sqref="AM82"/>
    </sheetView>
  </sheetViews>
  <sheetFormatPr baseColWidth="10" defaultColWidth="9.1796875" defaultRowHeight="14.5" x14ac:dyDescent="0.35"/>
  <cols>
    <col min="1" max="1" width="9.1796875" style="5"/>
    <col min="2" max="2" width="2.81640625" style="5" customWidth="1"/>
    <col min="3" max="4" width="3.54296875" style="5" customWidth="1"/>
    <col min="5" max="5" width="3.26953125" style="5" customWidth="1"/>
    <col min="6" max="6" width="4.54296875" style="5" customWidth="1"/>
    <col min="7" max="7" width="3" style="5" customWidth="1"/>
    <col min="8" max="8" width="6.7265625" style="5" customWidth="1"/>
    <col min="9" max="9" width="3.81640625" style="5" customWidth="1"/>
    <col min="10" max="10" width="10.26953125" style="5" customWidth="1"/>
    <col min="11" max="12" width="3.453125" style="5" customWidth="1"/>
    <col min="13" max="13" width="3.1796875" style="5" customWidth="1"/>
    <col min="14" max="14" width="9.54296875" style="5" customWidth="1"/>
    <col min="15" max="16" width="9.1796875" style="5" customWidth="1"/>
    <col min="17" max="17" width="6.7265625" style="5" customWidth="1"/>
    <col min="18" max="18" width="3.453125" style="5" customWidth="1"/>
    <col min="19" max="19" width="1.81640625" style="5" customWidth="1"/>
    <col min="20" max="20" width="16.81640625" style="5" customWidth="1"/>
    <col min="21" max="21" width="9" style="5" customWidth="1"/>
    <col min="22" max="22" width="1.453125" style="5" customWidth="1"/>
    <col min="23" max="23" width="1.81640625" style="5" customWidth="1"/>
    <col min="24" max="24" width="0.7265625" style="5" customWidth="1"/>
    <col min="25" max="25" width="1" style="5" customWidth="1"/>
    <col min="26" max="26" width="1.453125" style="5" customWidth="1"/>
    <col min="27" max="27" width="5.54296875" style="5" customWidth="1"/>
    <col min="28" max="28" width="2.81640625" style="5" customWidth="1"/>
    <col min="29" max="29" width="4.7265625" style="5" customWidth="1"/>
    <col min="30" max="30" width="12.7265625" style="5" customWidth="1"/>
    <col min="31" max="31" width="3.453125" style="5" customWidth="1"/>
    <col min="32" max="32" width="4.1796875" style="5" customWidth="1"/>
    <col min="33" max="33" width="8.54296875" style="5" customWidth="1"/>
    <col min="34" max="34" width="4" style="5" customWidth="1"/>
    <col min="35" max="37" width="1.1796875" style="5" customWidth="1"/>
    <col min="38" max="38" width="9.1796875" style="5" customWidth="1"/>
    <col min="39" max="39" width="13.1796875" style="5" customWidth="1"/>
    <col min="40" max="40" width="9.1796875" style="5" customWidth="1"/>
    <col min="41" max="41" width="2.54296875" style="5" customWidth="1"/>
    <col min="42" max="42" width="2.453125" style="5" customWidth="1"/>
    <col min="43" max="43" width="9.1796875" style="5"/>
    <col min="44" max="44" width="10.81640625" style="5" bestFit="1" customWidth="1"/>
    <col min="45" max="16384" width="9.1796875" style="5"/>
  </cols>
  <sheetData>
    <row r="1" spans="3:44" ht="4.5" customHeight="1" thickBot="1" x14ac:dyDescent="0.4"/>
    <row r="2" spans="3:44" ht="3.75" customHeight="1" thickTop="1" x14ac:dyDescent="0.35">
      <c r="C2" s="88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90"/>
    </row>
    <row r="3" spans="3:44" x14ac:dyDescent="0.35">
      <c r="C3" s="91"/>
      <c r="AP3" s="92"/>
    </row>
    <row r="4" spans="3:44" ht="42.75" customHeight="1" x14ac:dyDescent="0.35">
      <c r="C4" s="91"/>
      <c r="E4" s="185" t="s">
        <v>1</v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93"/>
    </row>
    <row r="5" spans="3:44" ht="28.5" customHeight="1" x14ac:dyDescent="0.35">
      <c r="C5" s="91"/>
      <c r="E5" s="189" t="s">
        <v>0</v>
      </c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AP5" s="92"/>
    </row>
    <row r="6" spans="3:44" ht="21" customHeight="1" x14ac:dyDescent="0.5">
      <c r="C6" s="91"/>
      <c r="E6" s="197" t="s">
        <v>2</v>
      </c>
      <c r="F6" s="197"/>
      <c r="G6" s="197"/>
      <c r="H6" s="197"/>
      <c r="I6" s="200" t="s">
        <v>405</v>
      </c>
      <c r="J6" s="200"/>
      <c r="K6" s="200"/>
      <c r="Y6" s="94" t="s">
        <v>3</v>
      </c>
      <c r="Z6" s="94"/>
      <c r="AA6" s="94"/>
      <c r="AB6" s="94"/>
      <c r="AC6" s="94"/>
      <c r="AD6" s="167"/>
      <c r="AE6" s="168">
        <f ca="1">TODAY()</f>
        <v>44949</v>
      </c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99"/>
    </row>
    <row r="7" spans="3:44" ht="21" customHeight="1" x14ac:dyDescent="0.5">
      <c r="C7" s="91"/>
      <c r="E7" s="94" t="s">
        <v>4</v>
      </c>
      <c r="F7" s="94"/>
      <c r="G7" s="94"/>
      <c r="I7" s="196">
        <f>IFERROR(VLOOKUP($I$6,'Base Empleados'!B:D,3,0),0)</f>
        <v>0</v>
      </c>
      <c r="J7" s="196"/>
      <c r="K7" s="196"/>
      <c r="L7" s="196"/>
      <c r="M7" s="196"/>
      <c r="N7" s="196"/>
      <c r="O7" s="196"/>
      <c r="P7" s="196"/>
      <c r="Q7" s="196"/>
      <c r="Y7" s="197" t="s">
        <v>6</v>
      </c>
      <c r="Z7" s="197"/>
      <c r="AA7" s="197"/>
      <c r="AB7" s="197"/>
      <c r="AC7" s="197"/>
      <c r="AD7" s="197"/>
      <c r="AE7" s="197"/>
      <c r="AF7" s="197"/>
      <c r="AG7" s="168" t="s">
        <v>7</v>
      </c>
      <c r="AH7" s="168"/>
      <c r="AI7" s="168"/>
      <c r="AJ7" s="168"/>
      <c r="AK7" s="168"/>
      <c r="AL7" s="168"/>
      <c r="AM7" s="168"/>
      <c r="AN7" s="153"/>
      <c r="AP7" s="92"/>
    </row>
    <row r="8" spans="3:44" ht="21" customHeight="1" x14ac:dyDescent="0.5">
      <c r="C8" s="91"/>
      <c r="E8" s="94" t="s">
        <v>5</v>
      </c>
      <c r="F8" s="94"/>
      <c r="G8" s="95"/>
      <c r="H8" s="95"/>
      <c r="I8" s="150">
        <f>IFERROR(VLOOKUP($I$6,'Base Empleados'!$B$3:$E$500,4,0),0)</f>
        <v>0</v>
      </c>
      <c r="J8" s="150"/>
      <c r="K8" s="150"/>
      <c r="L8" s="150"/>
      <c r="M8" s="150"/>
      <c r="N8" s="95"/>
      <c r="O8" s="95"/>
      <c r="P8" s="95"/>
      <c r="Q8" s="95"/>
      <c r="Y8" s="197" t="s">
        <v>9</v>
      </c>
      <c r="Z8" s="197"/>
      <c r="AA8" s="197"/>
      <c r="AB8" s="197"/>
      <c r="AC8" s="197"/>
      <c r="AD8" s="197"/>
      <c r="AE8" s="197"/>
      <c r="AF8" s="197"/>
      <c r="AG8" s="169" t="s">
        <v>770</v>
      </c>
      <c r="AH8" s="169"/>
      <c r="AI8" s="169"/>
      <c r="AJ8" s="169"/>
      <c r="AK8" s="169"/>
      <c r="AL8" s="169"/>
      <c r="AM8" s="169"/>
      <c r="AN8" s="154"/>
      <c r="AP8" s="92"/>
    </row>
    <row r="9" spans="3:44" ht="21" customHeight="1" x14ac:dyDescent="0.5">
      <c r="C9" s="91"/>
      <c r="E9" s="197" t="s">
        <v>8</v>
      </c>
      <c r="F9" s="197"/>
      <c r="G9" s="95"/>
      <c r="H9" s="95"/>
      <c r="I9" s="196">
        <f>IFERROR(VLOOKUP($I$6,'Base Empleados'!$B$3:$F$500,5,0),0)</f>
        <v>0</v>
      </c>
      <c r="J9" s="196"/>
      <c r="K9" s="196"/>
      <c r="L9" s="196"/>
      <c r="M9" s="196"/>
      <c r="N9" s="196"/>
      <c r="O9" s="196"/>
      <c r="P9" s="196"/>
      <c r="Q9" s="95"/>
      <c r="AP9" s="92"/>
      <c r="AR9" s="97"/>
    </row>
    <row r="10" spans="3:44" ht="21" customHeight="1" x14ac:dyDescent="0.5">
      <c r="C10" s="91"/>
      <c r="E10" s="149"/>
      <c r="F10" s="149"/>
      <c r="G10" s="95"/>
      <c r="H10" s="95"/>
      <c r="I10" s="150"/>
      <c r="J10" s="150"/>
      <c r="K10" s="150"/>
      <c r="L10" s="95"/>
      <c r="M10" s="95"/>
      <c r="N10" s="95"/>
      <c r="O10" s="95"/>
      <c r="AP10" s="92"/>
      <c r="AR10" s="97"/>
    </row>
    <row r="11" spans="3:44" ht="21" customHeight="1" x14ac:dyDescent="0.55000000000000004">
      <c r="C11" s="91"/>
      <c r="E11" s="149"/>
      <c r="F11" s="149"/>
      <c r="G11" s="95"/>
      <c r="H11" s="95"/>
      <c r="I11" s="150"/>
      <c r="J11" s="150"/>
      <c r="K11" s="150"/>
      <c r="L11" s="95"/>
      <c r="M11" s="95"/>
      <c r="N11" s="178" t="s">
        <v>772</v>
      </c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P11" s="92"/>
      <c r="AR11" s="97"/>
    </row>
    <row r="12" spans="3:44" ht="42" customHeight="1" x14ac:dyDescent="0.35">
      <c r="C12" s="91"/>
      <c r="E12" s="198" t="s">
        <v>28</v>
      </c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92"/>
    </row>
    <row r="13" spans="3:44" ht="16" thickBot="1" x14ac:dyDescent="0.4">
      <c r="C13" s="91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2"/>
    </row>
    <row r="14" spans="3:44" ht="52.5" customHeight="1" x14ac:dyDescent="0.35">
      <c r="C14" s="91"/>
      <c r="N14" s="186" t="s">
        <v>33</v>
      </c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8"/>
      <c r="AE14" s="98"/>
      <c r="AF14" s="98"/>
      <c r="AG14" s="98"/>
      <c r="AH14" s="98"/>
      <c r="AP14" s="92"/>
    </row>
    <row r="15" spans="3:44" ht="24" customHeight="1" x14ac:dyDescent="0.35">
      <c r="C15" s="91"/>
      <c r="N15" s="179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1"/>
      <c r="AE15" s="7"/>
      <c r="AF15" s="7"/>
      <c r="AG15" s="7"/>
      <c r="AH15" s="7"/>
      <c r="AP15" s="92"/>
    </row>
    <row r="16" spans="3:44" ht="24" customHeight="1" x14ac:dyDescent="0.35">
      <c r="C16" s="91"/>
      <c r="N16" s="179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1"/>
      <c r="AE16" s="7"/>
      <c r="AF16" s="7"/>
      <c r="AG16" s="7"/>
      <c r="AH16" s="7"/>
      <c r="AP16" s="92"/>
    </row>
    <row r="17" spans="3:42" ht="24" customHeight="1" x14ac:dyDescent="0.35">
      <c r="C17" s="91"/>
      <c r="N17" s="179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1"/>
      <c r="AE17" s="7"/>
      <c r="AF17" s="7"/>
      <c r="AG17" s="7"/>
      <c r="AH17" s="7"/>
      <c r="AP17" s="92"/>
    </row>
    <row r="18" spans="3:42" ht="21.75" customHeight="1" x14ac:dyDescent="0.35">
      <c r="C18" s="91"/>
      <c r="N18" s="179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1"/>
      <c r="AE18" s="7"/>
      <c r="AF18" s="7"/>
      <c r="AG18" s="7"/>
      <c r="AH18" s="7"/>
      <c r="AP18" s="92"/>
    </row>
    <row r="19" spans="3:42" ht="22.5" customHeight="1" x14ac:dyDescent="0.35">
      <c r="C19" s="91"/>
      <c r="N19" s="179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1"/>
      <c r="AE19" s="98"/>
      <c r="AF19" s="98"/>
      <c r="AG19" s="98"/>
      <c r="AH19" s="98"/>
      <c r="AP19" s="92"/>
    </row>
    <row r="20" spans="3:42" x14ac:dyDescent="0.35">
      <c r="C20" s="91"/>
      <c r="N20" s="100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2"/>
      <c r="AE20" s="101"/>
      <c r="AF20" s="101"/>
      <c r="AG20" s="101"/>
      <c r="AH20" s="101"/>
      <c r="AP20" s="92"/>
    </row>
    <row r="21" spans="3:42" x14ac:dyDescent="0.35">
      <c r="C21" s="91"/>
      <c r="N21" s="100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2"/>
      <c r="AE21" s="101"/>
      <c r="AF21" s="101"/>
      <c r="AG21" s="101"/>
      <c r="AH21" s="101"/>
      <c r="AP21" s="92"/>
    </row>
    <row r="22" spans="3:42" ht="22.5" customHeight="1" x14ac:dyDescent="0.45">
      <c r="C22" s="91"/>
      <c r="N22" s="103" t="s">
        <v>24</v>
      </c>
      <c r="O22" s="24"/>
      <c r="P22" s="177">
        <v>43692</v>
      </c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58"/>
      <c r="AE22" s="8"/>
      <c r="AF22" s="8"/>
      <c r="AG22" s="8"/>
      <c r="AH22" s="8"/>
      <c r="AP22" s="92"/>
    </row>
    <row r="23" spans="3:42" ht="23.25" customHeight="1" x14ac:dyDescent="0.45">
      <c r="C23" s="91"/>
      <c r="N23" s="103" t="s">
        <v>25</v>
      </c>
      <c r="O23" s="24"/>
      <c r="P23" s="24"/>
      <c r="Q23" s="104"/>
      <c r="R23" s="183">
        <v>0.27083333333333331</v>
      </c>
      <c r="S23" s="183"/>
      <c r="T23" s="183"/>
      <c r="U23" s="9"/>
      <c r="V23" s="8"/>
      <c r="W23" s="8"/>
      <c r="X23" s="8"/>
      <c r="Y23" s="8"/>
      <c r="Z23" s="8"/>
      <c r="AA23" s="8"/>
      <c r="AB23" s="8"/>
      <c r="AC23" s="8"/>
      <c r="AD23" s="14"/>
      <c r="AE23" s="8"/>
      <c r="AF23" s="8"/>
      <c r="AG23" s="8"/>
      <c r="AH23" s="8"/>
      <c r="AP23" s="92"/>
    </row>
    <row r="24" spans="3:42" ht="22.5" customHeight="1" x14ac:dyDescent="0.45">
      <c r="C24" s="91"/>
      <c r="N24" s="103" t="s">
        <v>26</v>
      </c>
      <c r="O24" s="24"/>
      <c r="P24" s="24"/>
      <c r="Q24" s="104"/>
      <c r="R24" s="183">
        <v>0.8125</v>
      </c>
      <c r="S24" s="183"/>
      <c r="T24" s="183"/>
      <c r="U24" s="9"/>
      <c r="V24" s="8"/>
      <c r="W24" s="8"/>
      <c r="X24" s="8"/>
      <c r="Y24" s="8"/>
      <c r="Z24" s="8"/>
      <c r="AA24" s="8"/>
      <c r="AB24" s="8"/>
      <c r="AC24" s="8"/>
      <c r="AD24" s="14"/>
      <c r="AE24" s="8"/>
      <c r="AF24" s="8"/>
      <c r="AG24" s="8"/>
      <c r="AH24" s="8"/>
      <c r="AM24" s="105"/>
      <c r="AN24" s="105"/>
      <c r="AP24" s="92"/>
    </row>
    <row r="25" spans="3:42" ht="22.5" customHeight="1" thickBot="1" x14ac:dyDescent="0.5">
      <c r="C25" s="91"/>
      <c r="N25" s="103"/>
      <c r="O25" s="24"/>
      <c r="P25" s="24"/>
      <c r="Q25" s="24"/>
      <c r="R25" s="24"/>
      <c r="S25" s="24"/>
      <c r="T25" s="24"/>
      <c r="U25" s="8"/>
      <c r="V25" s="8"/>
      <c r="W25" s="8"/>
      <c r="X25" s="8"/>
      <c r="Y25" s="8"/>
      <c r="Z25" s="8"/>
      <c r="AA25" s="8"/>
      <c r="AB25" s="8"/>
      <c r="AC25" s="8"/>
      <c r="AD25" s="14"/>
      <c r="AE25" s="8"/>
      <c r="AF25" s="8"/>
      <c r="AG25" s="8"/>
      <c r="AH25" s="8"/>
      <c r="AP25" s="92"/>
    </row>
    <row r="26" spans="3:42" ht="22.5" customHeight="1" thickBot="1" x14ac:dyDescent="0.5">
      <c r="C26" s="91"/>
      <c r="N26" s="106" t="s">
        <v>29</v>
      </c>
      <c r="O26" s="107"/>
      <c r="P26" s="107"/>
      <c r="Q26" s="108"/>
      <c r="R26" s="25"/>
      <c r="S26" s="25"/>
      <c r="T26" s="26"/>
      <c r="U26" s="9"/>
      <c r="V26" s="109"/>
      <c r="W26" s="109"/>
      <c r="X26" s="190">
        <f>((R24-R23)*24)</f>
        <v>13.000000000000002</v>
      </c>
      <c r="Y26" s="191"/>
      <c r="Z26" s="191"/>
      <c r="AA26" s="192"/>
      <c r="AB26" s="193"/>
      <c r="AC26" s="194"/>
      <c r="AD26" s="195"/>
      <c r="AE26" s="110"/>
      <c r="AF26" s="170" t="s">
        <v>366</v>
      </c>
      <c r="AG26" s="170"/>
      <c r="AH26" s="170"/>
      <c r="AI26" s="170"/>
      <c r="AJ26" s="170"/>
      <c r="AK26" s="170"/>
      <c r="AL26" s="170"/>
      <c r="AM26" s="170"/>
      <c r="AN26" s="170"/>
      <c r="AO26" s="159"/>
      <c r="AP26" s="92"/>
    </row>
    <row r="27" spans="3:42" ht="22.5" customHeight="1" x14ac:dyDescent="0.35">
      <c r="C27" s="91"/>
      <c r="N27" s="171" t="str">
        <f>IF(((R24-R23)*24)&gt;9,"NOTA: Recuerda que no puedes exceder mas de 9 horas diarias "," ")</f>
        <v xml:space="preserve">NOTA: Recuerda que no puedes exceder mas de 9 horas diarias </v>
      </c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3"/>
      <c r="AE27" s="110"/>
      <c r="AF27" s="170"/>
      <c r="AG27" s="170"/>
      <c r="AH27" s="170"/>
      <c r="AI27" s="170"/>
      <c r="AJ27" s="170"/>
      <c r="AK27" s="170"/>
      <c r="AL27" s="170"/>
      <c r="AM27" s="170"/>
      <c r="AN27" s="170"/>
      <c r="AO27" s="159"/>
      <c r="AP27" s="92"/>
    </row>
    <row r="28" spans="3:42" ht="22.5" customHeight="1" thickBot="1" x14ac:dyDescent="0.4">
      <c r="C28" s="91"/>
      <c r="N28" s="174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6"/>
      <c r="AF28" s="170"/>
      <c r="AG28" s="170"/>
      <c r="AH28" s="170"/>
      <c r="AI28" s="170"/>
      <c r="AJ28" s="170"/>
      <c r="AK28" s="170"/>
      <c r="AL28" s="170"/>
      <c r="AM28" s="170"/>
      <c r="AN28" s="170"/>
      <c r="AO28" s="159"/>
      <c r="AP28" s="92"/>
    </row>
    <row r="29" spans="3:42" ht="14.25" customHeight="1" x14ac:dyDescent="0.35">
      <c r="C29" s="91"/>
      <c r="O29" s="113"/>
      <c r="P29" s="113"/>
      <c r="AP29" s="92"/>
    </row>
    <row r="30" spans="3:42" ht="14.25" customHeight="1" x14ac:dyDescent="0.35">
      <c r="C30" s="91"/>
      <c r="O30" s="113"/>
      <c r="P30" s="113"/>
      <c r="AP30" s="92"/>
    </row>
    <row r="31" spans="3:42" ht="14.25" customHeight="1" x14ac:dyDescent="0.35">
      <c r="C31" s="91"/>
      <c r="F31" s="113"/>
      <c r="AP31" s="92"/>
    </row>
    <row r="32" spans="3:42" x14ac:dyDescent="0.35">
      <c r="C32" s="91"/>
      <c r="F32" s="114"/>
      <c r="AP32" s="92"/>
    </row>
    <row r="33" spans="3:42" x14ac:dyDescent="0.35">
      <c r="C33" s="91"/>
      <c r="J33" s="114"/>
      <c r="AI33" s="6"/>
      <c r="AJ33" s="6"/>
      <c r="AK33" s="6"/>
      <c r="AP33" s="92"/>
    </row>
    <row r="34" spans="3:42" s="104" customFormat="1" ht="27" customHeight="1" x14ac:dyDescent="0.45">
      <c r="C34" s="115"/>
      <c r="I34" s="184">
        <f>+I7</f>
        <v>0</v>
      </c>
      <c r="J34" s="184"/>
      <c r="K34" s="184"/>
      <c r="L34" s="184"/>
      <c r="M34" s="184"/>
      <c r="N34" s="184"/>
      <c r="O34" s="116"/>
      <c r="P34" s="184">
        <f>IFERROR(VLOOKUP($I$6,'Base Empleados'!$B$3:$G$500,6,0),0)</f>
        <v>0</v>
      </c>
      <c r="Q34" s="184"/>
      <c r="R34" s="184"/>
      <c r="S34" s="184"/>
      <c r="T34" s="184"/>
      <c r="U34" s="151"/>
      <c r="V34" s="28"/>
      <c r="W34" s="184">
        <f>IFERROR(VLOOKUP($I$6,'Base Empleados'!$B$3:$H$500,7,0),0)</f>
        <v>0</v>
      </c>
      <c r="X34" s="184"/>
      <c r="Y34" s="184"/>
      <c r="Z34" s="184"/>
      <c r="AA34" s="184"/>
      <c r="AB34" s="184"/>
      <c r="AC34" s="184"/>
      <c r="AD34" s="184"/>
      <c r="AE34" s="184"/>
      <c r="AF34" s="151"/>
      <c r="AH34" s="184">
        <f>IFERROR(VLOOKUP(I6,'Base Empleados'!$B$3:$I$500,8),0)</f>
        <v>0</v>
      </c>
      <c r="AI34" s="184"/>
      <c r="AJ34" s="184"/>
      <c r="AK34" s="184"/>
      <c r="AL34" s="184"/>
      <c r="AM34" s="184"/>
      <c r="AN34" s="151"/>
      <c r="AP34" s="117"/>
    </row>
    <row r="35" spans="3:42" s="96" customFormat="1" ht="16.5" customHeight="1" x14ac:dyDescent="0.35">
      <c r="C35" s="118"/>
      <c r="I35" s="182" t="s">
        <v>14</v>
      </c>
      <c r="J35" s="182"/>
      <c r="K35" s="182"/>
      <c r="L35" s="182"/>
      <c r="M35" s="182"/>
      <c r="N35" s="182"/>
      <c r="O35" s="119"/>
      <c r="P35" s="182" t="s">
        <v>14</v>
      </c>
      <c r="Q35" s="182"/>
      <c r="R35" s="182"/>
      <c r="S35" s="182"/>
      <c r="T35" s="182"/>
      <c r="U35" s="120"/>
      <c r="V35" s="120"/>
      <c r="W35" s="182" t="s">
        <v>14</v>
      </c>
      <c r="X35" s="182"/>
      <c r="Y35" s="182"/>
      <c r="Z35" s="182"/>
      <c r="AA35" s="182"/>
      <c r="AB35" s="182"/>
      <c r="AC35" s="182"/>
      <c r="AD35" s="182"/>
      <c r="AE35" s="182"/>
      <c r="AF35" s="120"/>
      <c r="AG35" s="121"/>
      <c r="AH35" s="202" t="s">
        <v>14</v>
      </c>
      <c r="AI35" s="202"/>
      <c r="AJ35" s="202"/>
      <c r="AK35" s="202"/>
      <c r="AL35" s="202"/>
      <c r="AM35" s="202"/>
      <c r="AN35" s="120"/>
      <c r="AP35" s="122"/>
    </row>
    <row r="36" spans="3:42" s="96" customFormat="1" ht="16.5" customHeight="1" x14ac:dyDescent="0.35">
      <c r="C36" s="118"/>
      <c r="I36" s="182" t="s">
        <v>15</v>
      </c>
      <c r="J36" s="182"/>
      <c r="K36" s="182"/>
      <c r="L36" s="182"/>
      <c r="M36" s="182"/>
      <c r="N36" s="182"/>
      <c r="O36" s="119"/>
      <c r="P36" s="182" t="s">
        <v>36</v>
      </c>
      <c r="Q36" s="182"/>
      <c r="R36" s="182"/>
      <c r="S36" s="182"/>
      <c r="T36" s="182"/>
      <c r="U36" s="120"/>
      <c r="V36" s="120"/>
      <c r="W36" s="182" t="s">
        <v>17</v>
      </c>
      <c r="X36" s="182"/>
      <c r="Y36" s="182"/>
      <c r="Z36" s="182"/>
      <c r="AA36" s="182"/>
      <c r="AB36" s="182"/>
      <c r="AC36" s="182"/>
      <c r="AD36" s="182"/>
      <c r="AE36" s="182"/>
      <c r="AF36" s="120"/>
      <c r="AG36" s="121"/>
      <c r="AH36" s="182" t="s">
        <v>30</v>
      </c>
      <c r="AI36" s="182"/>
      <c r="AJ36" s="182"/>
      <c r="AK36" s="182"/>
      <c r="AL36" s="182"/>
      <c r="AM36" s="182"/>
      <c r="AN36" s="120"/>
      <c r="AP36" s="122"/>
    </row>
    <row r="37" spans="3:42" s="96" customFormat="1" ht="16.5" customHeight="1" x14ac:dyDescent="0.35">
      <c r="C37" s="118"/>
      <c r="I37" s="182" t="s">
        <v>19</v>
      </c>
      <c r="J37" s="182"/>
      <c r="K37" s="182"/>
      <c r="L37" s="182"/>
      <c r="M37" s="182"/>
      <c r="N37" s="182"/>
      <c r="O37" s="119"/>
      <c r="P37" s="182" t="s">
        <v>20</v>
      </c>
      <c r="Q37" s="182"/>
      <c r="R37" s="182"/>
      <c r="S37" s="182"/>
      <c r="T37" s="182"/>
      <c r="U37" s="120"/>
      <c r="V37" s="120"/>
      <c r="W37" s="119"/>
      <c r="Y37" s="120" t="s">
        <v>21</v>
      </c>
      <c r="Z37" s="119"/>
      <c r="AA37" s="119"/>
      <c r="AB37" s="119"/>
      <c r="AC37" s="119"/>
      <c r="AD37" s="119"/>
      <c r="AG37" s="121" t="s">
        <v>27</v>
      </c>
      <c r="AH37" s="121"/>
      <c r="AI37" s="121"/>
      <c r="AJ37" s="182" t="s">
        <v>768</v>
      </c>
      <c r="AK37" s="182"/>
      <c r="AL37" s="182"/>
      <c r="AM37" s="121"/>
      <c r="AN37" s="121"/>
      <c r="AP37" s="122"/>
    </row>
    <row r="38" spans="3:42" ht="15.75" customHeight="1" x14ac:dyDescent="0.35">
      <c r="C38" s="91"/>
      <c r="E38" s="124"/>
      <c r="F38" s="124"/>
      <c r="G38" s="124"/>
      <c r="H38" s="124"/>
      <c r="I38" s="124"/>
      <c r="J38" s="125"/>
      <c r="K38" s="125"/>
      <c r="L38" s="125"/>
      <c r="M38" s="124"/>
      <c r="N38" s="124"/>
      <c r="O38" s="124"/>
      <c r="P38" s="124"/>
      <c r="Q38" s="124"/>
      <c r="R38" s="125"/>
      <c r="T38" s="124"/>
      <c r="U38" s="124"/>
      <c r="V38" s="125"/>
      <c r="W38" s="125"/>
      <c r="X38" s="125"/>
      <c r="Y38" s="125"/>
      <c r="Z38" s="125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5"/>
      <c r="AM38" s="127"/>
      <c r="AN38" s="127"/>
      <c r="AP38" s="92"/>
    </row>
    <row r="39" spans="3:42" ht="15.75" customHeight="1" x14ac:dyDescent="0.35">
      <c r="C39" s="91"/>
      <c r="E39" s="124"/>
      <c r="F39" s="124"/>
      <c r="G39" s="124"/>
      <c r="H39" s="124"/>
      <c r="I39" s="124"/>
      <c r="J39" s="125"/>
      <c r="K39" s="125"/>
      <c r="L39" s="125"/>
      <c r="M39" s="124"/>
      <c r="N39" s="124"/>
      <c r="O39" s="124"/>
      <c r="P39" s="124"/>
      <c r="Q39" s="124"/>
      <c r="R39" s="125"/>
      <c r="T39" s="124"/>
      <c r="U39" s="125"/>
      <c r="V39" s="125"/>
      <c r="W39" s="125"/>
      <c r="X39" s="125"/>
      <c r="Y39" s="125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5"/>
      <c r="AL39" s="127"/>
      <c r="AM39" s="126"/>
      <c r="AN39" s="126"/>
      <c r="AP39" s="92"/>
    </row>
    <row r="40" spans="3:42" ht="15.75" customHeight="1" x14ac:dyDescent="0.35">
      <c r="C40" s="91"/>
      <c r="E40" s="124"/>
      <c r="F40" s="124"/>
      <c r="G40" s="124"/>
      <c r="H40" s="124"/>
      <c r="I40" s="124"/>
      <c r="J40" s="125"/>
      <c r="K40" s="125"/>
      <c r="L40" s="125"/>
      <c r="M40" s="124"/>
      <c r="N40" s="124"/>
      <c r="O40" s="124"/>
      <c r="P40" s="124"/>
      <c r="Q40" s="124"/>
      <c r="R40" s="125"/>
      <c r="T40" s="124"/>
      <c r="U40" s="125"/>
      <c r="V40" s="125"/>
      <c r="W40" s="125"/>
      <c r="X40" s="125"/>
      <c r="Y40" s="125"/>
      <c r="Z40" s="126"/>
      <c r="AA40" s="126"/>
      <c r="AB40" s="126"/>
      <c r="AC40" s="126"/>
      <c r="AD40" s="126"/>
      <c r="AE40" s="126"/>
      <c r="AF40" s="126"/>
      <c r="AG40" s="126"/>
      <c r="AH40" s="126"/>
      <c r="AI40" s="125"/>
      <c r="AK40" s="127"/>
      <c r="AL40" s="126"/>
      <c r="AM40" s="126"/>
      <c r="AN40" s="126"/>
      <c r="AP40" s="92"/>
    </row>
    <row r="41" spans="3:42" ht="15.75" customHeight="1" x14ac:dyDescent="0.35">
      <c r="C41" s="91"/>
      <c r="E41" s="124"/>
      <c r="F41" s="124"/>
      <c r="G41" s="124"/>
      <c r="H41" s="124"/>
      <c r="I41" s="124"/>
      <c r="J41" s="125"/>
      <c r="K41" s="125"/>
      <c r="L41" s="125"/>
      <c r="M41" s="124"/>
      <c r="N41" s="124"/>
      <c r="O41" s="124"/>
      <c r="P41" s="124"/>
      <c r="Q41" s="124"/>
      <c r="R41" s="125"/>
      <c r="T41" s="124"/>
      <c r="U41" s="125"/>
      <c r="V41" s="125"/>
      <c r="W41" s="125"/>
      <c r="X41" s="125"/>
      <c r="Y41" s="125"/>
      <c r="Z41" s="126"/>
      <c r="AA41" s="126"/>
      <c r="AB41" s="126"/>
      <c r="AC41" s="126"/>
      <c r="AD41" s="126"/>
      <c r="AE41" s="126"/>
      <c r="AF41" s="126"/>
      <c r="AG41" s="126"/>
      <c r="AH41" s="126"/>
      <c r="AI41" s="125"/>
      <c r="AK41" s="127"/>
      <c r="AL41" s="126"/>
      <c r="AM41" s="126"/>
      <c r="AN41" s="126"/>
      <c r="AP41" s="92"/>
    </row>
    <row r="42" spans="3:42" ht="15.75" customHeight="1" x14ac:dyDescent="0.35">
      <c r="C42" s="128"/>
      <c r="D42" s="75"/>
      <c r="E42" s="129"/>
      <c r="F42" s="129"/>
      <c r="G42" s="129"/>
      <c r="H42" s="129"/>
      <c r="I42" s="129"/>
      <c r="J42" s="130"/>
      <c r="K42" s="130"/>
      <c r="L42" s="130"/>
      <c r="M42" s="129"/>
      <c r="N42" s="129"/>
      <c r="O42" s="129"/>
      <c r="P42" s="129"/>
      <c r="Q42" s="129"/>
      <c r="R42" s="130"/>
      <c r="S42" s="75"/>
      <c r="T42" s="129"/>
      <c r="U42" s="130"/>
      <c r="V42" s="130"/>
      <c r="W42" s="130"/>
      <c r="X42" s="130"/>
      <c r="Y42" s="130"/>
      <c r="Z42" s="131"/>
      <c r="AA42" s="131"/>
      <c r="AB42" s="131"/>
      <c r="AC42" s="131"/>
      <c r="AD42" s="131"/>
      <c r="AE42" s="131"/>
      <c r="AF42" s="131"/>
      <c r="AG42" s="131"/>
      <c r="AH42" s="131"/>
      <c r="AI42" s="130"/>
      <c r="AJ42" s="75"/>
      <c r="AK42" s="132"/>
      <c r="AL42" s="131"/>
      <c r="AM42" s="131"/>
      <c r="AN42" s="131"/>
      <c r="AO42" s="75"/>
      <c r="AP42" s="133"/>
    </row>
    <row r="43" spans="3:42" ht="15.75" customHeight="1" x14ac:dyDescent="0.35">
      <c r="C43" s="91"/>
      <c r="E43" s="124"/>
      <c r="F43" s="124"/>
      <c r="G43" s="124"/>
      <c r="H43" s="124"/>
      <c r="I43" s="124"/>
      <c r="J43" s="125"/>
      <c r="K43" s="125"/>
      <c r="L43" s="125"/>
      <c r="M43" s="124"/>
      <c r="N43" s="124"/>
      <c r="O43" s="124"/>
      <c r="P43" s="124"/>
      <c r="Q43" s="124"/>
      <c r="R43" s="125"/>
      <c r="T43" s="124"/>
      <c r="U43" s="125"/>
      <c r="V43" s="125"/>
      <c r="W43" s="125"/>
      <c r="X43" s="125"/>
      <c r="Y43" s="125"/>
      <c r="Z43" s="126"/>
      <c r="AA43" s="126"/>
      <c r="AB43" s="126"/>
      <c r="AC43" s="126"/>
      <c r="AD43" s="126"/>
      <c r="AE43" s="126"/>
      <c r="AF43" s="126"/>
      <c r="AG43" s="126"/>
      <c r="AH43" s="126"/>
      <c r="AI43" s="125"/>
      <c r="AK43" s="127"/>
      <c r="AL43" s="126"/>
      <c r="AM43" s="126"/>
      <c r="AN43" s="126"/>
      <c r="AP43" s="92"/>
    </row>
    <row r="44" spans="3:42" ht="15.75" customHeight="1" x14ac:dyDescent="0.35">
      <c r="C44" s="91"/>
      <c r="E44" s="124"/>
      <c r="F44" s="124"/>
      <c r="G44" s="124"/>
      <c r="H44" s="124"/>
      <c r="I44" s="124"/>
      <c r="J44" s="125"/>
      <c r="K44" s="125"/>
      <c r="L44" s="125"/>
      <c r="M44" s="124"/>
      <c r="N44" s="178" t="s">
        <v>773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26"/>
      <c r="AF44" s="126"/>
      <c r="AG44" s="126"/>
      <c r="AH44" s="126"/>
      <c r="AI44" s="125"/>
      <c r="AK44" s="127"/>
      <c r="AL44" s="126"/>
      <c r="AM44" s="126"/>
      <c r="AN44" s="126"/>
      <c r="AP44" s="92"/>
    </row>
    <row r="45" spans="3:42" ht="18.75" customHeight="1" x14ac:dyDescent="0.35">
      <c r="C45" s="91"/>
      <c r="E45" s="134"/>
      <c r="F45" s="134"/>
      <c r="G45" s="134"/>
      <c r="H45" s="134"/>
      <c r="I45" s="134"/>
      <c r="J45" s="134"/>
      <c r="K45" s="134"/>
      <c r="L45" s="134"/>
      <c r="M45" s="134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P45" s="92"/>
    </row>
    <row r="46" spans="3:42" ht="16" thickBot="1" x14ac:dyDescent="0.4">
      <c r="C46" s="91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P46" s="92"/>
    </row>
    <row r="47" spans="3:42" ht="15.5" x14ac:dyDescent="0.35">
      <c r="C47" s="91"/>
      <c r="N47" s="205" t="s">
        <v>31</v>
      </c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7"/>
      <c r="AE47" s="98"/>
      <c r="AF47" s="98"/>
      <c r="AG47" s="98"/>
      <c r="AH47" s="98"/>
      <c r="AP47" s="92"/>
    </row>
    <row r="48" spans="3:42" ht="24" customHeight="1" x14ac:dyDescent="0.35">
      <c r="C48" s="91"/>
      <c r="N48" s="15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6"/>
      <c r="AE48" s="7"/>
      <c r="AF48" s="7"/>
      <c r="AG48" s="7"/>
      <c r="AH48" s="7"/>
      <c r="AP48" s="92"/>
    </row>
    <row r="49" spans="3:42" ht="24" customHeight="1" x14ac:dyDescent="0.35">
      <c r="C49" s="91"/>
      <c r="N49" s="15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6"/>
      <c r="AE49" s="7"/>
      <c r="AF49" s="7"/>
      <c r="AG49" s="7"/>
      <c r="AH49" s="7"/>
      <c r="AP49" s="92"/>
    </row>
    <row r="50" spans="3:42" ht="21.75" customHeight="1" x14ac:dyDescent="0.35">
      <c r="C50" s="91"/>
      <c r="G50" s="204"/>
      <c r="H50" s="204"/>
      <c r="N50" s="15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6"/>
      <c r="AE50" s="7"/>
      <c r="AF50" s="7"/>
      <c r="AG50" s="7"/>
      <c r="AH50" s="7"/>
      <c r="AP50" s="92"/>
    </row>
    <row r="51" spans="3:42" ht="21.75" customHeight="1" x14ac:dyDescent="0.35">
      <c r="C51" s="91"/>
      <c r="G51" s="155"/>
      <c r="H51" s="155"/>
      <c r="N51" s="15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6"/>
      <c r="AE51" s="7"/>
      <c r="AF51" s="7"/>
      <c r="AG51" s="7"/>
      <c r="AH51" s="7"/>
      <c r="AP51" s="92"/>
    </row>
    <row r="52" spans="3:42" ht="22.5" customHeight="1" x14ac:dyDescent="0.35">
      <c r="C52" s="91"/>
      <c r="N52" s="13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99"/>
      <c r="AE52" s="98"/>
      <c r="AF52" s="98"/>
      <c r="AG52" s="98"/>
      <c r="AH52" s="98"/>
      <c r="AP52" s="92"/>
    </row>
    <row r="53" spans="3:42" x14ac:dyDescent="0.35">
      <c r="C53" s="91"/>
      <c r="N53" s="100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2"/>
      <c r="AE53" s="101"/>
      <c r="AF53" s="101"/>
      <c r="AG53" s="101"/>
      <c r="AH53" s="101"/>
      <c r="AP53" s="92"/>
    </row>
    <row r="54" spans="3:42" x14ac:dyDescent="0.35">
      <c r="C54" s="91"/>
      <c r="N54" s="100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2"/>
      <c r="AE54" s="101"/>
      <c r="AF54" s="101"/>
      <c r="AG54" s="101"/>
      <c r="AH54" s="101"/>
      <c r="AP54" s="92"/>
    </row>
    <row r="55" spans="3:42" ht="22.5" customHeight="1" x14ac:dyDescent="0.45">
      <c r="C55" s="91"/>
      <c r="N55" s="103" t="s">
        <v>776</v>
      </c>
      <c r="O55" s="156"/>
      <c r="P55" s="156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157"/>
      <c r="AD55" s="14"/>
      <c r="AE55" s="8"/>
      <c r="AF55" s="8"/>
      <c r="AG55" s="8"/>
      <c r="AH55" s="8"/>
      <c r="AP55" s="92"/>
    </row>
    <row r="56" spans="3:42" ht="23.25" customHeight="1" x14ac:dyDescent="0.45">
      <c r="C56" s="91"/>
      <c r="N56" s="103" t="s">
        <v>25</v>
      </c>
      <c r="O56" s="24"/>
      <c r="P56" s="24"/>
      <c r="Q56" s="160"/>
      <c r="R56" s="203">
        <v>0.27083333333333331</v>
      </c>
      <c r="S56" s="203"/>
      <c r="T56" s="203"/>
      <c r="U56" s="9"/>
      <c r="V56" s="8"/>
      <c r="W56" s="8"/>
      <c r="X56" s="8"/>
      <c r="Y56" s="8"/>
      <c r="Z56" s="8"/>
      <c r="AA56" s="8"/>
      <c r="AB56" s="8"/>
      <c r="AC56" s="8"/>
      <c r="AD56" s="14"/>
      <c r="AE56" s="8"/>
      <c r="AF56" s="8"/>
      <c r="AG56" s="8"/>
      <c r="AH56" s="8"/>
      <c r="AP56" s="92"/>
    </row>
    <row r="57" spans="3:42" ht="22.5" customHeight="1" x14ac:dyDescent="0.45">
      <c r="C57" s="91"/>
      <c r="N57" s="103" t="s">
        <v>26</v>
      </c>
      <c r="O57" s="24"/>
      <c r="P57" s="24"/>
      <c r="Q57" s="104"/>
      <c r="R57" s="203">
        <v>0.8125</v>
      </c>
      <c r="S57" s="203"/>
      <c r="T57" s="203"/>
      <c r="U57" s="9"/>
      <c r="V57" s="8"/>
      <c r="W57" s="8"/>
      <c r="X57" s="8"/>
      <c r="Y57" s="8"/>
      <c r="Z57" s="8"/>
      <c r="AA57" s="8"/>
      <c r="AB57" s="8"/>
      <c r="AC57" s="8"/>
      <c r="AD57" s="14"/>
      <c r="AE57" s="8"/>
      <c r="AF57" s="8"/>
      <c r="AG57" s="8"/>
      <c r="AH57" s="8"/>
      <c r="AP57" s="92"/>
    </row>
    <row r="58" spans="3:42" ht="22.5" customHeight="1" thickBot="1" x14ac:dyDescent="0.5">
      <c r="C58" s="91"/>
      <c r="N58" s="103"/>
      <c r="O58" s="24"/>
      <c r="P58" s="24"/>
      <c r="Q58" s="24"/>
      <c r="R58" s="24"/>
      <c r="S58" s="24"/>
      <c r="T58" s="24"/>
      <c r="U58" s="8"/>
      <c r="V58" s="8"/>
      <c r="W58" s="8"/>
      <c r="X58" s="8"/>
      <c r="Y58" s="8"/>
      <c r="Z58" s="8"/>
      <c r="AA58" s="8"/>
      <c r="AB58" s="8"/>
      <c r="AC58" s="8"/>
      <c r="AD58" s="14"/>
      <c r="AE58" s="8"/>
      <c r="AF58" s="8"/>
      <c r="AG58" s="8"/>
      <c r="AH58" s="8"/>
      <c r="AO58" s="148"/>
      <c r="AP58" s="92"/>
    </row>
    <row r="59" spans="3:42" ht="27.75" customHeight="1" thickBot="1" x14ac:dyDescent="0.5">
      <c r="C59" s="91"/>
      <c r="N59" s="106" t="s">
        <v>32</v>
      </c>
      <c r="O59" s="107"/>
      <c r="P59" s="107"/>
      <c r="Q59" s="108"/>
      <c r="R59" s="25"/>
      <c r="S59" s="25"/>
      <c r="T59" s="26"/>
      <c r="U59" s="190">
        <f>((R57-R56)*24)</f>
        <v>13.000000000000002</v>
      </c>
      <c r="V59" s="191"/>
      <c r="W59" s="191"/>
      <c r="X59" s="192"/>
      <c r="Y59" s="135"/>
      <c r="Z59" s="135"/>
      <c r="AA59" s="136"/>
      <c r="AB59" s="109"/>
      <c r="AC59" s="8"/>
      <c r="AD59" s="14"/>
      <c r="AE59" s="8"/>
      <c r="AF59" s="8"/>
      <c r="AG59" s="8"/>
      <c r="AH59" s="8"/>
      <c r="AP59" s="92"/>
    </row>
    <row r="60" spans="3:42" ht="14.25" customHeight="1" thickBot="1" x14ac:dyDescent="0.4">
      <c r="C60" s="91"/>
      <c r="N60" s="137"/>
      <c r="O60" s="111"/>
      <c r="P60" s="111"/>
      <c r="Q60" s="138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2"/>
      <c r="AP60" s="92"/>
    </row>
    <row r="61" spans="3:42" ht="23.25" customHeight="1" x14ac:dyDescent="0.35">
      <c r="C61" s="91"/>
      <c r="R61" s="91"/>
      <c r="T61" s="148" t="s">
        <v>23</v>
      </c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P61" s="92"/>
    </row>
    <row r="62" spans="3:42" ht="14.25" customHeight="1" x14ac:dyDescent="0.35">
      <c r="C62" s="91"/>
      <c r="F62" s="113"/>
      <c r="AP62" s="92"/>
    </row>
    <row r="63" spans="3:42" ht="14.25" customHeight="1" x14ac:dyDescent="0.35">
      <c r="C63" s="91"/>
      <c r="F63" s="113"/>
      <c r="AO63" s="96"/>
      <c r="AP63" s="92"/>
    </row>
    <row r="64" spans="3:42" ht="14.25" customHeight="1" x14ac:dyDescent="0.35">
      <c r="C64" s="91"/>
      <c r="F64" s="113"/>
      <c r="AP64" s="92"/>
    </row>
    <row r="65" spans="3:42" ht="19" thickBot="1" x14ac:dyDescent="0.5">
      <c r="C65" s="91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P65" s="92"/>
    </row>
    <row r="66" spans="3:42" s="96" customFormat="1" ht="39.75" customHeight="1" thickBot="1" x14ac:dyDescent="0.5">
      <c r="C66" s="91"/>
      <c r="D66" s="104"/>
      <c r="E66" s="161" t="s">
        <v>11</v>
      </c>
      <c r="F66" s="104"/>
      <c r="G66" s="104"/>
      <c r="H66" s="104"/>
      <c r="I66" s="104"/>
      <c r="J66" s="104"/>
      <c r="K66" s="104"/>
      <c r="L66" s="104"/>
      <c r="M66" s="104"/>
      <c r="N66" s="162" t="s">
        <v>12</v>
      </c>
      <c r="O66" s="163"/>
      <c r="P66" s="166"/>
      <c r="Q66" s="165"/>
      <c r="R66" s="164" t="s">
        <v>13</v>
      </c>
      <c r="S66" s="164"/>
      <c r="T66" s="164"/>
      <c r="U66" s="164"/>
      <c r="V66" s="164"/>
      <c r="W66" s="164"/>
      <c r="X66" s="164"/>
      <c r="Y66" s="164"/>
      <c r="Z66" s="164"/>
      <c r="AC66" s="139"/>
      <c r="AD66" s="139"/>
      <c r="AE66" s="27"/>
      <c r="AF66" s="27"/>
      <c r="AG66" s="27"/>
      <c r="AH66" s="27"/>
      <c r="AI66" s="139"/>
      <c r="AJ66" s="139"/>
      <c r="AK66" s="139"/>
      <c r="AL66" s="139"/>
      <c r="AM66" s="139"/>
      <c r="AO66" s="5"/>
      <c r="AP66" s="122"/>
    </row>
    <row r="67" spans="3:42" ht="15.5" x14ac:dyDescent="0.35">
      <c r="C67" s="91"/>
      <c r="S67" s="96"/>
      <c r="T67" s="96"/>
      <c r="U67" s="96"/>
      <c r="V67" s="96"/>
      <c r="W67" s="96"/>
      <c r="X67" s="96"/>
      <c r="Y67" s="96"/>
      <c r="Z67" s="140" t="s">
        <v>34</v>
      </c>
      <c r="AA67" s="96"/>
      <c r="AB67" s="96"/>
      <c r="AC67" s="141" t="s">
        <v>35</v>
      </c>
      <c r="AD67" s="96"/>
      <c r="AE67" s="96"/>
      <c r="AF67" s="96"/>
      <c r="AG67" s="96"/>
      <c r="AH67" s="96"/>
      <c r="AI67" s="96"/>
      <c r="AP67" s="92"/>
    </row>
    <row r="68" spans="3:42" x14ac:dyDescent="0.35">
      <c r="C68" s="91"/>
      <c r="P68" s="142"/>
      <c r="AP68" s="92"/>
    </row>
    <row r="69" spans="3:42" x14ac:dyDescent="0.35">
      <c r="C69" s="91"/>
      <c r="O69" s="142"/>
      <c r="AP69" s="92"/>
    </row>
    <row r="70" spans="3:42" x14ac:dyDescent="0.35">
      <c r="C70" s="91"/>
      <c r="O70" s="142"/>
      <c r="AP70" s="92"/>
    </row>
    <row r="71" spans="3:42" ht="18.5" x14ac:dyDescent="0.45">
      <c r="C71" s="91"/>
      <c r="F71" s="114"/>
      <c r="AO71" s="104"/>
      <c r="AP71" s="92"/>
    </row>
    <row r="72" spans="3:42" ht="15.5" x14ac:dyDescent="0.35">
      <c r="C72" s="91"/>
      <c r="I72" s="114"/>
      <c r="AO72" s="96"/>
      <c r="AP72" s="92"/>
    </row>
    <row r="73" spans="3:42" ht="15.5" x14ac:dyDescent="0.35">
      <c r="C73" s="91"/>
      <c r="I73" s="114"/>
      <c r="AG73" s="6"/>
      <c r="AH73" s="6"/>
      <c r="AI73" s="6"/>
      <c r="AL73" s="6"/>
      <c r="AM73" s="6"/>
      <c r="AN73" s="6"/>
      <c r="AO73" s="96"/>
      <c r="AP73" s="92"/>
    </row>
    <row r="74" spans="3:42" s="104" customFormat="1" ht="27" customHeight="1" x14ac:dyDescent="0.45">
      <c r="C74" s="115"/>
      <c r="I74" s="184">
        <f>+I34</f>
        <v>0</v>
      </c>
      <c r="J74" s="184"/>
      <c r="K74" s="184"/>
      <c r="L74" s="184"/>
      <c r="M74" s="184"/>
      <c r="N74" s="184"/>
      <c r="O74" s="152"/>
      <c r="P74" s="184">
        <f>+P34</f>
        <v>0</v>
      </c>
      <c r="Q74" s="184"/>
      <c r="R74" s="184"/>
      <c r="S74" s="184"/>
      <c r="T74" s="184"/>
      <c r="U74" s="152"/>
      <c r="V74" s="152"/>
      <c r="W74" s="184">
        <f>+W34</f>
        <v>0</v>
      </c>
      <c r="X74" s="184"/>
      <c r="Y74" s="184"/>
      <c r="Z74" s="184"/>
      <c r="AA74" s="184"/>
      <c r="AB74" s="184"/>
      <c r="AC74" s="184"/>
      <c r="AD74" s="184"/>
      <c r="AE74" s="184"/>
      <c r="AF74" s="184"/>
      <c r="AH74" s="184">
        <f>+AH34</f>
        <v>0</v>
      </c>
      <c r="AI74" s="184"/>
      <c r="AJ74" s="184"/>
      <c r="AK74" s="184"/>
      <c r="AL74" s="184"/>
      <c r="AM74" s="184"/>
      <c r="AN74" s="151"/>
      <c r="AO74" s="96"/>
      <c r="AP74" s="117"/>
    </row>
    <row r="75" spans="3:42" s="96" customFormat="1" ht="16.5" customHeight="1" x14ac:dyDescent="0.35">
      <c r="C75" s="118"/>
      <c r="I75" s="182" t="s">
        <v>14</v>
      </c>
      <c r="J75" s="182"/>
      <c r="K75" s="182"/>
      <c r="L75" s="182"/>
      <c r="M75" s="182"/>
      <c r="N75" s="182"/>
      <c r="O75" s="119"/>
      <c r="P75" s="182" t="s">
        <v>14</v>
      </c>
      <c r="Q75" s="182"/>
      <c r="R75" s="182"/>
      <c r="S75" s="182"/>
      <c r="T75" s="182"/>
      <c r="U75" s="121"/>
      <c r="V75" s="121"/>
      <c r="W75" s="121"/>
      <c r="X75" s="182" t="s">
        <v>14</v>
      </c>
      <c r="Y75" s="182"/>
      <c r="Z75" s="182"/>
      <c r="AA75" s="182"/>
      <c r="AB75" s="182"/>
      <c r="AC75" s="182"/>
      <c r="AD75" s="182"/>
      <c r="AE75" s="182"/>
      <c r="AF75" s="182"/>
      <c r="AG75" s="121"/>
      <c r="AH75" s="182" t="s">
        <v>14</v>
      </c>
      <c r="AI75" s="182"/>
      <c r="AJ75" s="182"/>
      <c r="AK75" s="182"/>
      <c r="AL75" s="182"/>
      <c r="AM75" s="182"/>
      <c r="AN75" s="120"/>
      <c r="AP75" s="122"/>
    </row>
    <row r="76" spans="3:42" s="96" customFormat="1" ht="16.5" customHeight="1" x14ac:dyDescent="0.35">
      <c r="C76" s="118"/>
      <c r="I76" s="182" t="s">
        <v>15</v>
      </c>
      <c r="J76" s="182"/>
      <c r="K76" s="182"/>
      <c r="L76" s="182"/>
      <c r="M76" s="182"/>
      <c r="N76" s="182"/>
      <c r="O76" s="119"/>
      <c r="P76" s="182" t="s">
        <v>36</v>
      </c>
      <c r="Q76" s="182"/>
      <c r="R76" s="182"/>
      <c r="S76" s="182"/>
      <c r="T76" s="182"/>
      <c r="U76" s="121"/>
      <c r="V76" s="121"/>
      <c r="W76" s="121"/>
      <c r="X76" s="182" t="s">
        <v>17</v>
      </c>
      <c r="Y76" s="182"/>
      <c r="Z76" s="182"/>
      <c r="AA76" s="182"/>
      <c r="AB76" s="182"/>
      <c r="AC76" s="182"/>
      <c r="AD76" s="182"/>
      <c r="AE76" s="182"/>
      <c r="AF76" s="182"/>
      <c r="AG76" s="121"/>
      <c r="AH76" s="182" t="s">
        <v>30</v>
      </c>
      <c r="AI76" s="182"/>
      <c r="AJ76" s="182"/>
      <c r="AK76" s="182"/>
      <c r="AL76" s="182"/>
      <c r="AM76" s="182"/>
      <c r="AN76" s="120"/>
      <c r="AP76" s="122"/>
    </row>
    <row r="77" spans="3:42" s="96" customFormat="1" ht="16.5" customHeight="1" x14ac:dyDescent="0.35">
      <c r="C77" s="118"/>
      <c r="I77" s="182" t="s">
        <v>19</v>
      </c>
      <c r="J77" s="182"/>
      <c r="K77" s="182"/>
      <c r="L77" s="182"/>
      <c r="M77" s="182"/>
      <c r="N77" s="182"/>
      <c r="O77" s="119"/>
      <c r="P77" s="182" t="s">
        <v>20</v>
      </c>
      <c r="Q77" s="182"/>
      <c r="R77" s="182"/>
      <c r="S77" s="182"/>
      <c r="T77" s="182"/>
      <c r="U77" s="119"/>
      <c r="W77" s="120"/>
      <c r="X77" s="119"/>
      <c r="Y77" s="119"/>
      <c r="Z77" s="119"/>
      <c r="AA77" s="182"/>
      <c r="AB77" s="182"/>
      <c r="AC77" s="182"/>
      <c r="AD77" s="182"/>
      <c r="AH77" s="121"/>
      <c r="AI77" s="121"/>
      <c r="AJ77" s="182" t="s">
        <v>768</v>
      </c>
      <c r="AK77" s="182"/>
      <c r="AL77" s="182"/>
      <c r="AM77" s="121"/>
      <c r="AN77" s="121"/>
      <c r="AP77" s="122"/>
    </row>
    <row r="78" spans="3:42" s="96" customFormat="1" ht="16.5" customHeight="1" x14ac:dyDescent="0.35">
      <c r="C78" s="118"/>
      <c r="H78" s="120"/>
      <c r="I78" s="120"/>
      <c r="J78" s="120"/>
      <c r="K78" s="120"/>
      <c r="L78" s="120"/>
      <c r="M78" s="120"/>
      <c r="N78" s="119"/>
      <c r="O78" s="119"/>
      <c r="P78" s="120"/>
      <c r="Q78" s="120"/>
      <c r="R78" s="120"/>
      <c r="S78" s="120"/>
      <c r="T78" s="120"/>
      <c r="U78" s="119"/>
      <c r="W78" s="120"/>
      <c r="X78" s="119"/>
      <c r="Y78" s="119"/>
      <c r="Z78" s="119"/>
      <c r="AA78" s="119"/>
      <c r="AB78" s="119"/>
      <c r="AE78" s="121"/>
      <c r="AF78" s="121"/>
      <c r="AG78" s="120"/>
      <c r="AH78" s="120"/>
      <c r="AI78" s="120"/>
      <c r="AJ78" s="121"/>
      <c r="AK78" s="123"/>
      <c r="AL78" s="119"/>
      <c r="AO78" s="123"/>
      <c r="AP78" s="122"/>
    </row>
    <row r="79" spans="3:42" s="96" customFormat="1" ht="16.5" customHeight="1" x14ac:dyDescent="0.35">
      <c r="C79" s="118"/>
      <c r="H79" s="120"/>
      <c r="I79" s="120"/>
      <c r="J79" s="120"/>
      <c r="K79" s="120"/>
      <c r="L79" s="120"/>
      <c r="M79" s="120"/>
      <c r="N79" s="119"/>
      <c r="O79" s="119"/>
      <c r="P79" s="120"/>
      <c r="Q79" s="120"/>
      <c r="R79" s="120"/>
      <c r="S79" s="120"/>
      <c r="T79" s="120"/>
      <c r="U79" s="119"/>
      <c r="W79" s="120"/>
      <c r="X79" s="119"/>
      <c r="Y79" s="119"/>
      <c r="Z79" s="119"/>
      <c r="AA79" s="119"/>
      <c r="AB79" s="119"/>
      <c r="AE79" s="121"/>
      <c r="AF79" s="121"/>
      <c r="AG79" s="120"/>
      <c r="AH79" s="120"/>
      <c r="AI79" s="120"/>
      <c r="AJ79" s="121"/>
      <c r="AK79" s="123"/>
      <c r="AL79" s="119"/>
      <c r="AO79" s="123"/>
      <c r="AP79" s="122"/>
    </row>
    <row r="80" spans="3:42" ht="16.5" customHeight="1" thickBot="1" x14ac:dyDescent="0.4">
      <c r="C80" s="143"/>
      <c r="D80" s="144"/>
      <c r="E80" s="145"/>
      <c r="F80" s="144"/>
      <c r="G80" s="144"/>
      <c r="H80" s="144"/>
      <c r="I80" s="144"/>
      <c r="J80" s="144"/>
      <c r="K80" s="144"/>
      <c r="L80" s="144"/>
      <c r="M80" s="145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4"/>
      <c r="AL80" s="144"/>
      <c r="AM80" s="144"/>
      <c r="AN80" s="144"/>
      <c r="AO80" s="144"/>
      <c r="AP80" s="146"/>
    </row>
    <row r="81" spans="39:39" ht="15" thickTop="1" x14ac:dyDescent="0.35"/>
    <row r="82" spans="39:39" x14ac:dyDescent="0.35">
      <c r="AM82" s="5" t="s">
        <v>871</v>
      </c>
    </row>
  </sheetData>
  <sheetProtection algorithmName="SHA-512" hashValue="se08u88VsbrHDkDJ1KxM5wCgjyGFZ3sw1+86DlZAPRi7l1YZR7vtSnuAaIKa5W/N5ZTN7ivtfkqpcgxHZS2gJw==" saltValue="NopuhX6mRCoeJlcSzxQWLQ==" spinCount="100000" sheet="1" objects="1" scenarios="1"/>
  <mergeCells count="65">
    <mergeCell ref="G50:H50"/>
    <mergeCell ref="I36:N36"/>
    <mergeCell ref="I37:N37"/>
    <mergeCell ref="I76:N76"/>
    <mergeCell ref="R57:T57"/>
    <mergeCell ref="N44:AD45"/>
    <mergeCell ref="I75:N75"/>
    <mergeCell ref="N47:AD47"/>
    <mergeCell ref="I74:N74"/>
    <mergeCell ref="P76:T76"/>
    <mergeCell ref="U59:X59"/>
    <mergeCell ref="I77:N77"/>
    <mergeCell ref="Q55:AB55"/>
    <mergeCell ref="AH34:AM34"/>
    <mergeCell ref="AH35:AM35"/>
    <mergeCell ref="AH36:AM36"/>
    <mergeCell ref="AH74:AM74"/>
    <mergeCell ref="AH75:AM75"/>
    <mergeCell ref="AH76:AM76"/>
    <mergeCell ref="AJ37:AL37"/>
    <mergeCell ref="AJ77:AL77"/>
    <mergeCell ref="W74:AF74"/>
    <mergeCell ref="P37:T37"/>
    <mergeCell ref="P74:T74"/>
    <mergeCell ref="P75:T75"/>
    <mergeCell ref="R56:T56"/>
    <mergeCell ref="P34:T34"/>
    <mergeCell ref="I35:N35"/>
    <mergeCell ref="E4:AO4"/>
    <mergeCell ref="N14:AD14"/>
    <mergeCell ref="I34:N34"/>
    <mergeCell ref="E5:Q5"/>
    <mergeCell ref="X26:AA26"/>
    <mergeCell ref="AB26:AD26"/>
    <mergeCell ref="I9:P9"/>
    <mergeCell ref="E6:H6"/>
    <mergeCell ref="E9:F9"/>
    <mergeCell ref="E12:AO12"/>
    <mergeCell ref="Y7:AF7"/>
    <mergeCell ref="Y8:AF8"/>
    <mergeCell ref="I7:Q7"/>
    <mergeCell ref="AE6:AP6"/>
    <mergeCell ref="I6:K6"/>
    <mergeCell ref="P77:T77"/>
    <mergeCell ref="AA77:AD77"/>
    <mergeCell ref="X75:AF75"/>
    <mergeCell ref="X76:AF76"/>
    <mergeCell ref="R23:T23"/>
    <mergeCell ref="R24:T24"/>
    <mergeCell ref="W34:AE34"/>
    <mergeCell ref="P35:T35"/>
    <mergeCell ref="P36:T36"/>
    <mergeCell ref="W35:AE35"/>
    <mergeCell ref="W36:AE36"/>
    <mergeCell ref="AG7:AM7"/>
    <mergeCell ref="AG8:AM8"/>
    <mergeCell ref="AF26:AN28"/>
    <mergeCell ref="N27:AD28"/>
    <mergeCell ref="P22:AC22"/>
    <mergeCell ref="N11:AD11"/>
    <mergeCell ref="N15:AD15"/>
    <mergeCell ref="N16:AD16"/>
    <mergeCell ref="N17:AD17"/>
    <mergeCell ref="N18:AD18"/>
    <mergeCell ref="N19:AD19"/>
  </mergeCells>
  <pageMargins left="0.27" right="0.15748031496062992" top="0.26" bottom="0.15748031496062992" header="0.45" footer="0.31496062992125984"/>
  <pageSetup scale="48" orientation="portrait" r:id="rId1"/>
  <ignoredErrors>
    <ignoredError sqref="AE6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C5453C-5A90-43F2-A250-848CDD88B773}">
          <x14:formula1>
            <xm:f>'Base Empleados'!$B$2:$B$500</xm:f>
          </x14:formula1>
          <xm:sqref>I6:K6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77CB-CEFD-4121-ACEB-F20A578A2758}">
  <dimension ref="B1:J333"/>
  <sheetViews>
    <sheetView topLeftCell="A313" zoomScaleNormal="100" workbookViewId="0">
      <selection activeCell="B3" sqref="B3"/>
    </sheetView>
  </sheetViews>
  <sheetFormatPr baseColWidth="10" defaultColWidth="11.453125" defaultRowHeight="15.5" x14ac:dyDescent="0.35"/>
  <cols>
    <col min="1" max="1" width="11.453125" style="147"/>
    <col min="2" max="2" width="6.26953125" style="147" bestFit="1" customWidth="1"/>
    <col min="3" max="3" width="6.26953125" style="147" customWidth="1"/>
    <col min="4" max="4" width="40.7265625" style="147" bestFit="1" customWidth="1"/>
    <col min="5" max="5" width="48.453125" style="147" bestFit="1" customWidth="1"/>
    <col min="6" max="6" width="57.81640625" style="147" bestFit="1" customWidth="1"/>
    <col min="7" max="8" width="18.81640625" style="147" bestFit="1" customWidth="1"/>
    <col min="9" max="9" width="16.7265625" style="147" bestFit="1" customWidth="1"/>
    <col min="10" max="10" width="13.54296875" style="147" bestFit="1" customWidth="1"/>
    <col min="11" max="16384" width="11.453125" style="147"/>
  </cols>
  <sheetData>
    <row r="1" spans="2:10" x14ac:dyDescent="0.35">
      <c r="B1" s="147" t="s">
        <v>38</v>
      </c>
      <c r="D1" s="147" t="s">
        <v>769</v>
      </c>
      <c r="E1" s="147" t="s">
        <v>39</v>
      </c>
      <c r="F1" s="147" t="s">
        <v>40</v>
      </c>
      <c r="G1" s="147" t="s">
        <v>41</v>
      </c>
      <c r="H1" s="147" t="s">
        <v>42</v>
      </c>
      <c r="I1" s="147" t="s">
        <v>43</v>
      </c>
      <c r="J1" s="147" t="s">
        <v>870</v>
      </c>
    </row>
    <row r="2" spans="2:10" x14ac:dyDescent="0.35">
      <c r="B2" s="147" t="s">
        <v>405</v>
      </c>
    </row>
    <row r="3" spans="2:10" x14ac:dyDescent="0.35">
      <c r="B3">
        <v>40</v>
      </c>
      <c r="C3"/>
      <c r="D3" t="s">
        <v>44</v>
      </c>
      <c r="E3" t="s">
        <v>45</v>
      </c>
      <c r="F3" t="s">
        <v>46</v>
      </c>
      <c r="G3" t="s">
        <v>37</v>
      </c>
      <c r="H3" t="s">
        <v>37</v>
      </c>
      <c r="I3" t="s">
        <v>47</v>
      </c>
      <c r="J3"/>
    </row>
    <row r="4" spans="2:10" x14ac:dyDescent="0.35">
      <c r="B4">
        <v>88</v>
      </c>
      <c r="C4"/>
      <c r="D4" t="s">
        <v>48</v>
      </c>
      <c r="E4" t="s">
        <v>49</v>
      </c>
      <c r="F4" t="s">
        <v>50</v>
      </c>
      <c r="G4" t="s">
        <v>51</v>
      </c>
      <c r="H4" t="s">
        <v>51</v>
      </c>
      <c r="I4" t="s">
        <v>51</v>
      </c>
      <c r="J4"/>
    </row>
    <row r="5" spans="2:10" x14ac:dyDescent="0.35">
      <c r="B5">
        <v>92</v>
      </c>
      <c r="C5"/>
      <c r="D5" t="s">
        <v>52</v>
      </c>
      <c r="E5" t="s">
        <v>53</v>
      </c>
      <c r="F5" t="s">
        <v>54</v>
      </c>
      <c r="G5" t="s">
        <v>55</v>
      </c>
      <c r="H5" t="s">
        <v>55</v>
      </c>
      <c r="I5" t="s">
        <v>56</v>
      </c>
      <c r="J5"/>
    </row>
    <row r="6" spans="2:10" x14ac:dyDescent="0.35">
      <c r="B6">
        <v>97</v>
      </c>
      <c r="C6"/>
      <c r="D6" t="s">
        <v>51</v>
      </c>
      <c r="E6" t="s">
        <v>797</v>
      </c>
      <c r="F6" t="s">
        <v>63</v>
      </c>
      <c r="G6" t="s">
        <v>77</v>
      </c>
      <c r="H6" t="s">
        <v>77</v>
      </c>
      <c r="I6" t="s">
        <v>77</v>
      </c>
      <c r="J6"/>
    </row>
    <row r="7" spans="2:10" x14ac:dyDescent="0.35">
      <c r="B7">
        <v>105</v>
      </c>
      <c r="C7"/>
      <c r="D7" t="s">
        <v>57</v>
      </c>
      <c r="E7" t="s">
        <v>58</v>
      </c>
      <c r="F7" t="s">
        <v>59</v>
      </c>
      <c r="G7" t="s">
        <v>60</v>
      </c>
      <c r="H7" t="s">
        <v>60</v>
      </c>
      <c r="I7" t="s">
        <v>47</v>
      </c>
      <c r="J7"/>
    </row>
    <row r="8" spans="2:10" x14ac:dyDescent="0.35">
      <c r="B8">
        <v>127</v>
      </c>
      <c r="C8"/>
      <c r="D8" t="s">
        <v>230</v>
      </c>
      <c r="E8" t="s">
        <v>798</v>
      </c>
      <c r="F8" t="s">
        <v>132</v>
      </c>
      <c r="G8" t="s">
        <v>70</v>
      </c>
      <c r="H8" t="s">
        <v>70</v>
      </c>
      <c r="I8" t="s">
        <v>70</v>
      </c>
      <c r="J8"/>
    </row>
    <row r="9" spans="2:10" x14ac:dyDescent="0.35">
      <c r="B9">
        <v>316</v>
      </c>
      <c r="C9"/>
      <c r="D9" t="s">
        <v>133</v>
      </c>
      <c r="E9" t="s">
        <v>798</v>
      </c>
      <c r="F9" t="s">
        <v>132</v>
      </c>
      <c r="G9" t="s">
        <v>70</v>
      </c>
      <c r="H9" t="s">
        <v>70</v>
      </c>
      <c r="I9" t="s">
        <v>70</v>
      </c>
      <c r="J9"/>
    </row>
    <row r="10" spans="2:10" x14ac:dyDescent="0.35">
      <c r="B10">
        <v>348</v>
      </c>
      <c r="C10"/>
      <c r="D10" t="s">
        <v>799</v>
      </c>
      <c r="E10" t="s">
        <v>800</v>
      </c>
      <c r="F10" t="s">
        <v>801</v>
      </c>
      <c r="G10" t="s">
        <v>70</v>
      </c>
      <c r="H10" t="s">
        <v>70</v>
      </c>
      <c r="I10" t="s">
        <v>70</v>
      </c>
      <c r="J10"/>
    </row>
    <row r="11" spans="2:10" x14ac:dyDescent="0.35">
      <c r="B11">
        <v>351</v>
      </c>
      <c r="C11"/>
      <c r="D11" t="s">
        <v>199</v>
      </c>
      <c r="E11" t="s">
        <v>802</v>
      </c>
      <c r="F11" t="s">
        <v>198</v>
      </c>
      <c r="G11" t="s">
        <v>51</v>
      </c>
      <c r="H11" t="s">
        <v>51</v>
      </c>
      <c r="I11" t="s">
        <v>51</v>
      </c>
      <c r="J11"/>
    </row>
    <row r="12" spans="2:10" x14ac:dyDescent="0.35">
      <c r="B12">
        <v>372</v>
      </c>
      <c r="C12"/>
      <c r="D12" t="s">
        <v>61</v>
      </c>
      <c r="E12" t="s">
        <v>62</v>
      </c>
      <c r="F12" t="s">
        <v>63</v>
      </c>
      <c r="G12" t="s">
        <v>51</v>
      </c>
      <c r="H12" t="s">
        <v>51</v>
      </c>
      <c r="I12" t="s">
        <v>51</v>
      </c>
      <c r="J12"/>
    </row>
    <row r="13" spans="2:10" x14ac:dyDescent="0.35">
      <c r="B13">
        <v>410</v>
      </c>
      <c r="C13"/>
      <c r="D13" t="s">
        <v>64</v>
      </c>
      <c r="E13" t="s">
        <v>65</v>
      </c>
      <c r="F13" t="s">
        <v>50</v>
      </c>
      <c r="G13" t="s">
        <v>51</v>
      </c>
      <c r="H13" t="s">
        <v>51</v>
      </c>
      <c r="I13" t="s">
        <v>51</v>
      </c>
      <c r="J13"/>
    </row>
    <row r="14" spans="2:10" x14ac:dyDescent="0.35">
      <c r="B14">
        <v>423</v>
      </c>
      <c r="C14"/>
      <c r="D14" t="s">
        <v>66</v>
      </c>
      <c r="E14" t="s">
        <v>67</v>
      </c>
      <c r="F14" t="s">
        <v>68</v>
      </c>
      <c r="G14" t="s">
        <v>78</v>
      </c>
      <c r="H14" t="s">
        <v>69</v>
      </c>
      <c r="I14" t="s">
        <v>70</v>
      </c>
      <c r="J14"/>
    </row>
    <row r="15" spans="2:10" x14ac:dyDescent="0.35">
      <c r="B15">
        <v>434</v>
      </c>
      <c r="C15"/>
      <c r="D15" t="s">
        <v>71</v>
      </c>
      <c r="E15" t="s">
        <v>72</v>
      </c>
      <c r="F15" t="s">
        <v>68</v>
      </c>
      <c r="G15" t="s">
        <v>78</v>
      </c>
      <c r="H15" t="s">
        <v>69</v>
      </c>
      <c r="I15" t="s">
        <v>70</v>
      </c>
      <c r="J15"/>
    </row>
    <row r="16" spans="2:10" x14ac:dyDescent="0.35">
      <c r="B16">
        <v>453</v>
      </c>
      <c r="C16"/>
      <c r="D16" t="s">
        <v>73</v>
      </c>
      <c r="E16" t="s">
        <v>74</v>
      </c>
      <c r="F16" t="s">
        <v>75</v>
      </c>
      <c r="G16" t="s">
        <v>76</v>
      </c>
      <c r="H16" t="s">
        <v>76</v>
      </c>
      <c r="I16" t="s">
        <v>56</v>
      </c>
      <c r="J16"/>
    </row>
    <row r="17" spans="2:10" x14ac:dyDescent="0.35">
      <c r="B17">
        <v>507</v>
      </c>
      <c r="C17"/>
      <c r="D17" t="s">
        <v>78</v>
      </c>
      <c r="E17" t="s">
        <v>74</v>
      </c>
      <c r="F17" t="s">
        <v>68</v>
      </c>
      <c r="G17" t="s">
        <v>69</v>
      </c>
      <c r="H17" t="s">
        <v>69</v>
      </c>
      <c r="I17" t="s">
        <v>70</v>
      </c>
      <c r="J17"/>
    </row>
    <row r="18" spans="2:10" x14ac:dyDescent="0.35">
      <c r="B18">
        <v>517</v>
      </c>
      <c r="C18"/>
      <c r="D18" t="s">
        <v>79</v>
      </c>
      <c r="E18" t="s">
        <v>74</v>
      </c>
      <c r="F18" t="s">
        <v>75</v>
      </c>
      <c r="G18" t="s">
        <v>76</v>
      </c>
      <c r="H18" t="s">
        <v>76</v>
      </c>
      <c r="I18" t="s">
        <v>56</v>
      </c>
      <c r="J18"/>
    </row>
    <row r="19" spans="2:10" x14ac:dyDescent="0.35">
      <c r="B19">
        <v>541</v>
      </c>
      <c r="C19"/>
      <c r="D19" t="s">
        <v>80</v>
      </c>
      <c r="E19" t="s">
        <v>81</v>
      </c>
      <c r="F19" t="s">
        <v>75</v>
      </c>
      <c r="G19" t="s">
        <v>73</v>
      </c>
      <c r="H19" t="s">
        <v>76</v>
      </c>
      <c r="I19" t="s">
        <v>56</v>
      </c>
      <c r="J19"/>
    </row>
    <row r="20" spans="2:10" x14ac:dyDescent="0.35">
      <c r="B20">
        <v>570</v>
      </c>
      <c r="C20"/>
      <c r="D20" t="s">
        <v>82</v>
      </c>
      <c r="E20" t="s">
        <v>81</v>
      </c>
      <c r="F20" t="s">
        <v>83</v>
      </c>
      <c r="G20" t="s">
        <v>69</v>
      </c>
      <c r="H20" t="s">
        <v>69</v>
      </c>
      <c r="I20" t="s">
        <v>70</v>
      </c>
      <c r="J20"/>
    </row>
    <row r="21" spans="2:10" x14ac:dyDescent="0.35">
      <c r="B21">
        <v>599</v>
      </c>
      <c r="C21"/>
      <c r="D21" t="s">
        <v>84</v>
      </c>
      <c r="E21" t="s">
        <v>45</v>
      </c>
      <c r="F21" t="s">
        <v>59</v>
      </c>
      <c r="G21" t="s">
        <v>60</v>
      </c>
      <c r="H21" t="s">
        <v>60</v>
      </c>
      <c r="I21" t="s">
        <v>47</v>
      </c>
      <c r="J21"/>
    </row>
    <row r="22" spans="2:10" x14ac:dyDescent="0.35">
      <c r="B22">
        <v>614</v>
      </c>
      <c r="C22"/>
      <c r="D22" t="s">
        <v>85</v>
      </c>
      <c r="E22" t="s">
        <v>74</v>
      </c>
      <c r="F22" t="s">
        <v>86</v>
      </c>
      <c r="G22" t="s">
        <v>87</v>
      </c>
      <c r="H22" t="s">
        <v>87</v>
      </c>
      <c r="I22" t="s">
        <v>77</v>
      </c>
      <c r="J22"/>
    </row>
    <row r="23" spans="2:10" x14ac:dyDescent="0.35">
      <c r="B23">
        <v>623</v>
      </c>
      <c r="C23"/>
      <c r="D23" t="s">
        <v>88</v>
      </c>
      <c r="E23" t="s">
        <v>81</v>
      </c>
      <c r="F23" t="s">
        <v>68</v>
      </c>
      <c r="G23" t="s">
        <v>78</v>
      </c>
      <c r="H23" t="s">
        <v>69</v>
      </c>
      <c r="I23" t="s">
        <v>70</v>
      </c>
      <c r="J23"/>
    </row>
    <row r="24" spans="2:10" x14ac:dyDescent="0.35">
      <c r="B24">
        <v>642</v>
      </c>
      <c r="C24"/>
      <c r="D24" t="s">
        <v>803</v>
      </c>
      <c r="E24" t="s">
        <v>774</v>
      </c>
      <c r="F24" t="s">
        <v>355</v>
      </c>
      <c r="G24" t="s">
        <v>804</v>
      </c>
      <c r="H24" t="s">
        <v>92</v>
      </c>
      <c r="I24" t="s">
        <v>92</v>
      </c>
      <c r="J24"/>
    </row>
    <row r="25" spans="2:10" x14ac:dyDescent="0.35">
      <c r="B25">
        <v>647</v>
      </c>
      <c r="C25"/>
      <c r="D25" t="s">
        <v>805</v>
      </c>
      <c r="E25" t="s">
        <v>774</v>
      </c>
      <c r="F25" t="s">
        <v>329</v>
      </c>
      <c r="G25" t="s">
        <v>804</v>
      </c>
      <c r="H25" t="s">
        <v>330</v>
      </c>
      <c r="I25" t="s">
        <v>330</v>
      </c>
      <c r="J25"/>
    </row>
    <row r="26" spans="2:10" x14ac:dyDescent="0.35">
      <c r="B26">
        <v>653</v>
      </c>
      <c r="C26"/>
      <c r="D26" t="s">
        <v>37</v>
      </c>
      <c r="E26" t="s">
        <v>798</v>
      </c>
      <c r="F26" t="s">
        <v>46</v>
      </c>
      <c r="G26" t="s">
        <v>47</v>
      </c>
      <c r="H26" t="s">
        <v>47</v>
      </c>
      <c r="I26" t="s">
        <v>47</v>
      </c>
      <c r="J26"/>
    </row>
    <row r="27" spans="2:10" x14ac:dyDescent="0.35">
      <c r="B27">
        <v>734</v>
      </c>
      <c r="C27"/>
      <c r="D27" t="s">
        <v>89</v>
      </c>
      <c r="E27" t="s">
        <v>72</v>
      </c>
      <c r="F27" t="s">
        <v>75</v>
      </c>
      <c r="G27" t="s">
        <v>266</v>
      </c>
      <c r="H27" t="s">
        <v>76</v>
      </c>
      <c r="I27" t="s">
        <v>56</v>
      </c>
      <c r="J27"/>
    </row>
    <row r="28" spans="2:10" x14ac:dyDescent="0.35">
      <c r="B28">
        <v>763</v>
      </c>
      <c r="C28"/>
      <c r="D28" t="s">
        <v>90</v>
      </c>
      <c r="E28" t="s">
        <v>67</v>
      </c>
      <c r="F28" t="s">
        <v>91</v>
      </c>
      <c r="G28" t="s">
        <v>343</v>
      </c>
      <c r="H28" t="s">
        <v>92</v>
      </c>
      <c r="I28" t="s">
        <v>77</v>
      </c>
      <c r="J28"/>
    </row>
    <row r="29" spans="2:10" x14ac:dyDescent="0.35">
      <c r="B29">
        <v>764</v>
      </c>
      <c r="C29"/>
      <c r="D29" t="s">
        <v>93</v>
      </c>
      <c r="E29" t="s">
        <v>81</v>
      </c>
      <c r="F29" t="s">
        <v>75</v>
      </c>
      <c r="G29" t="s">
        <v>73</v>
      </c>
      <c r="H29" t="s">
        <v>76</v>
      </c>
      <c r="I29" t="s">
        <v>56</v>
      </c>
      <c r="J29"/>
    </row>
    <row r="30" spans="2:10" x14ac:dyDescent="0.35">
      <c r="B30">
        <v>777</v>
      </c>
      <c r="C30"/>
      <c r="D30" t="s">
        <v>94</v>
      </c>
      <c r="E30" t="s">
        <v>95</v>
      </c>
      <c r="F30" t="s">
        <v>96</v>
      </c>
      <c r="G30" t="s">
        <v>97</v>
      </c>
      <c r="H30" t="s">
        <v>97</v>
      </c>
      <c r="I30" t="s">
        <v>98</v>
      </c>
      <c r="J30"/>
    </row>
    <row r="31" spans="2:10" x14ac:dyDescent="0.35">
      <c r="B31">
        <v>780</v>
      </c>
      <c r="C31"/>
      <c r="D31" t="s">
        <v>99</v>
      </c>
      <c r="E31" t="s">
        <v>100</v>
      </c>
      <c r="F31" t="s">
        <v>75</v>
      </c>
      <c r="G31" t="s">
        <v>76</v>
      </c>
      <c r="H31" t="s">
        <v>76</v>
      </c>
      <c r="I31" t="s">
        <v>56</v>
      </c>
      <c r="J31"/>
    </row>
    <row r="32" spans="2:10" x14ac:dyDescent="0.35">
      <c r="B32">
        <v>785</v>
      </c>
      <c r="C32"/>
      <c r="D32" t="s">
        <v>101</v>
      </c>
      <c r="E32" t="s">
        <v>74</v>
      </c>
      <c r="F32" t="s">
        <v>102</v>
      </c>
      <c r="G32" t="s">
        <v>784</v>
      </c>
      <c r="H32" t="s">
        <v>784</v>
      </c>
      <c r="I32" t="s">
        <v>47</v>
      </c>
      <c r="J32"/>
    </row>
    <row r="33" spans="2:10" x14ac:dyDescent="0.35">
      <c r="B33">
        <v>805</v>
      </c>
      <c r="C33"/>
      <c r="D33" t="s">
        <v>806</v>
      </c>
      <c r="E33" t="s">
        <v>774</v>
      </c>
      <c r="F33" t="s">
        <v>151</v>
      </c>
      <c r="G33" t="s">
        <v>807</v>
      </c>
      <c r="H33" t="s">
        <v>152</v>
      </c>
      <c r="I33" t="s">
        <v>152</v>
      </c>
      <c r="J33"/>
    </row>
    <row r="34" spans="2:10" x14ac:dyDescent="0.35">
      <c r="B34">
        <v>806</v>
      </c>
      <c r="C34"/>
      <c r="D34" t="s">
        <v>103</v>
      </c>
      <c r="E34" t="s">
        <v>74</v>
      </c>
      <c r="F34" t="s">
        <v>102</v>
      </c>
      <c r="G34" t="s">
        <v>784</v>
      </c>
      <c r="H34" t="s">
        <v>784</v>
      </c>
      <c r="I34" t="s">
        <v>47</v>
      </c>
      <c r="J34"/>
    </row>
    <row r="35" spans="2:10" x14ac:dyDescent="0.35">
      <c r="B35">
        <v>840</v>
      </c>
      <c r="C35"/>
      <c r="D35" t="s">
        <v>104</v>
      </c>
      <c r="E35" t="s">
        <v>72</v>
      </c>
      <c r="F35" t="s">
        <v>68</v>
      </c>
      <c r="G35" t="s">
        <v>78</v>
      </c>
      <c r="H35" t="s">
        <v>69</v>
      </c>
      <c r="I35" t="s">
        <v>70</v>
      </c>
      <c r="J35"/>
    </row>
    <row r="36" spans="2:10" x14ac:dyDescent="0.35">
      <c r="B36">
        <v>853</v>
      </c>
      <c r="C36"/>
      <c r="D36" t="s">
        <v>105</v>
      </c>
      <c r="E36" t="s">
        <v>81</v>
      </c>
      <c r="F36" t="s">
        <v>54</v>
      </c>
      <c r="G36" t="s">
        <v>55</v>
      </c>
      <c r="H36" t="s">
        <v>55</v>
      </c>
      <c r="I36" t="s">
        <v>56</v>
      </c>
      <c r="J36"/>
    </row>
    <row r="37" spans="2:10" x14ac:dyDescent="0.35">
      <c r="B37">
        <v>857</v>
      </c>
      <c r="C37"/>
      <c r="D37" t="s">
        <v>106</v>
      </c>
      <c r="E37" t="s">
        <v>45</v>
      </c>
      <c r="F37" t="s">
        <v>107</v>
      </c>
      <c r="G37" t="s">
        <v>108</v>
      </c>
      <c r="H37" t="s">
        <v>108</v>
      </c>
      <c r="I37" t="s">
        <v>98</v>
      </c>
      <c r="J37"/>
    </row>
    <row r="38" spans="2:10" x14ac:dyDescent="0.35">
      <c r="B38">
        <v>859</v>
      </c>
      <c r="C38"/>
      <c r="D38" t="s">
        <v>808</v>
      </c>
      <c r="E38" t="s">
        <v>774</v>
      </c>
      <c r="F38" t="s">
        <v>809</v>
      </c>
      <c r="G38" t="s">
        <v>807</v>
      </c>
      <c r="H38" t="s">
        <v>810</v>
      </c>
      <c r="I38" t="s">
        <v>810</v>
      </c>
      <c r="J38"/>
    </row>
    <row r="39" spans="2:10" x14ac:dyDescent="0.35">
      <c r="B39">
        <v>860</v>
      </c>
      <c r="C39"/>
      <c r="D39" t="s">
        <v>109</v>
      </c>
      <c r="E39" t="s">
        <v>74</v>
      </c>
      <c r="F39" t="s">
        <v>110</v>
      </c>
      <c r="G39" t="s">
        <v>111</v>
      </c>
      <c r="H39" t="s">
        <v>111</v>
      </c>
      <c r="I39" t="s">
        <v>112</v>
      </c>
      <c r="J39"/>
    </row>
    <row r="40" spans="2:10" x14ac:dyDescent="0.35">
      <c r="B40">
        <v>861</v>
      </c>
      <c r="C40"/>
      <c r="D40" t="s">
        <v>113</v>
      </c>
      <c r="E40" t="s">
        <v>100</v>
      </c>
      <c r="F40" t="s">
        <v>68</v>
      </c>
      <c r="G40" t="s">
        <v>78</v>
      </c>
      <c r="H40" t="s">
        <v>69</v>
      </c>
      <c r="I40" t="s">
        <v>70</v>
      </c>
      <c r="J40"/>
    </row>
    <row r="41" spans="2:10" x14ac:dyDescent="0.35">
      <c r="B41">
        <v>869</v>
      </c>
      <c r="C41"/>
      <c r="D41" t="s">
        <v>114</v>
      </c>
      <c r="E41" t="s">
        <v>58</v>
      </c>
      <c r="F41" t="s">
        <v>50</v>
      </c>
      <c r="G41" t="s">
        <v>51</v>
      </c>
      <c r="H41" t="s">
        <v>51</v>
      </c>
      <c r="I41" t="s">
        <v>51</v>
      </c>
      <c r="J41"/>
    </row>
    <row r="42" spans="2:10" x14ac:dyDescent="0.35">
      <c r="B42">
        <v>874</v>
      </c>
      <c r="C42"/>
      <c r="D42" t="s">
        <v>152</v>
      </c>
      <c r="E42" t="s">
        <v>802</v>
      </c>
      <c r="F42" t="s">
        <v>151</v>
      </c>
      <c r="G42" t="s">
        <v>70</v>
      </c>
      <c r="H42" t="s">
        <v>70</v>
      </c>
      <c r="I42" t="s">
        <v>70</v>
      </c>
      <c r="J42"/>
    </row>
    <row r="43" spans="2:10" x14ac:dyDescent="0.35">
      <c r="B43">
        <v>875</v>
      </c>
      <c r="C43"/>
      <c r="D43" t="s">
        <v>811</v>
      </c>
      <c r="E43" t="s">
        <v>798</v>
      </c>
      <c r="F43" t="s">
        <v>812</v>
      </c>
      <c r="G43" t="s">
        <v>70</v>
      </c>
      <c r="H43" t="s">
        <v>70</v>
      </c>
      <c r="I43" t="s">
        <v>70</v>
      </c>
      <c r="J43"/>
    </row>
    <row r="44" spans="2:10" x14ac:dyDescent="0.35">
      <c r="B44">
        <v>880</v>
      </c>
      <c r="C44"/>
      <c r="D44" t="s">
        <v>115</v>
      </c>
      <c r="E44" t="s">
        <v>49</v>
      </c>
      <c r="F44" t="s">
        <v>102</v>
      </c>
      <c r="G44" t="s">
        <v>784</v>
      </c>
      <c r="H44" t="s">
        <v>784</v>
      </c>
      <c r="I44" t="s">
        <v>47</v>
      </c>
      <c r="J44"/>
    </row>
    <row r="45" spans="2:10" x14ac:dyDescent="0.35">
      <c r="B45">
        <v>881</v>
      </c>
      <c r="C45"/>
      <c r="D45" t="s">
        <v>116</v>
      </c>
      <c r="E45" t="s">
        <v>81</v>
      </c>
      <c r="F45" t="s">
        <v>75</v>
      </c>
      <c r="G45" t="s">
        <v>73</v>
      </c>
      <c r="H45" t="s">
        <v>76</v>
      </c>
      <c r="I45" t="s">
        <v>56</v>
      </c>
      <c r="J45"/>
    </row>
    <row r="46" spans="2:10" x14ac:dyDescent="0.35">
      <c r="B46">
        <v>888</v>
      </c>
      <c r="C46"/>
      <c r="D46" t="s">
        <v>117</v>
      </c>
      <c r="E46" t="s">
        <v>72</v>
      </c>
      <c r="F46" t="s">
        <v>75</v>
      </c>
      <c r="G46" t="s">
        <v>266</v>
      </c>
      <c r="H46" t="s">
        <v>76</v>
      </c>
      <c r="I46" t="s">
        <v>56</v>
      </c>
      <c r="J46"/>
    </row>
    <row r="47" spans="2:10" x14ac:dyDescent="0.35">
      <c r="B47">
        <v>894</v>
      </c>
      <c r="C47"/>
      <c r="D47" t="s">
        <v>813</v>
      </c>
      <c r="E47" t="s">
        <v>774</v>
      </c>
      <c r="F47" t="s">
        <v>809</v>
      </c>
      <c r="G47" t="s">
        <v>807</v>
      </c>
      <c r="H47" t="s">
        <v>810</v>
      </c>
      <c r="I47" t="s">
        <v>810</v>
      </c>
      <c r="J47"/>
    </row>
    <row r="48" spans="2:10" x14ac:dyDescent="0.35">
      <c r="B48">
        <v>896</v>
      </c>
      <c r="C48"/>
      <c r="D48" t="s">
        <v>118</v>
      </c>
      <c r="E48" t="s">
        <v>74</v>
      </c>
      <c r="F48" t="s">
        <v>119</v>
      </c>
      <c r="G48" t="s">
        <v>784</v>
      </c>
      <c r="H48" t="s">
        <v>784</v>
      </c>
      <c r="I48" t="s">
        <v>47</v>
      </c>
      <c r="J48"/>
    </row>
    <row r="49" spans="2:10" x14ac:dyDescent="0.35">
      <c r="B49">
        <v>912</v>
      </c>
      <c r="C49"/>
      <c r="D49" t="s">
        <v>120</v>
      </c>
      <c r="E49" t="s">
        <v>45</v>
      </c>
      <c r="F49" t="s">
        <v>54</v>
      </c>
      <c r="G49" t="s">
        <v>55</v>
      </c>
      <c r="H49" t="s">
        <v>55</v>
      </c>
      <c r="I49" t="s">
        <v>56</v>
      </c>
      <c r="J49"/>
    </row>
    <row r="50" spans="2:10" x14ac:dyDescent="0.35">
      <c r="B50">
        <v>916</v>
      </c>
      <c r="C50"/>
      <c r="D50" t="s">
        <v>121</v>
      </c>
      <c r="E50" t="s">
        <v>72</v>
      </c>
      <c r="F50" t="s">
        <v>68</v>
      </c>
      <c r="G50" t="s">
        <v>78</v>
      </c>
      <c r="H50" t="s">
        <v>69</v>
      </c>
      <c r="I50" t="s">
        <v>70</v>
      </c>
      <c r="J50"/>
    </row>
    <row r="51" spans="2:10" x14ac:dyDescent="0.35">
      <c r="B51">
        <v>923</v>
      </c>
      <c r="C51"/>
      <c r="D51" t="s">
        <v>122</v>
      </c>
      <c r="E51" t="s">
        <v>72</v>
      </c>
      <c r="F51" t="s">
        <v>91</v>
      </c>
      <c r="G51" t="s">
        <v>343</v>
      </c>
      <c r="H51" t="s">
        <v>92</v>
      </c>
      <c r="I51" t="s">
        <v>77</v>
      </c>
      <c r="J51"/>
    </row>
    <row r="52" spans="2:10" x14ac:dyDescent="0.35">
      <c r="B52">
        <v>924</v>
      </c>
      <c r="C52"/>
      <c r="D52" t="s">
        <v>123</v>
      </c>
      <c r="E52" t="s">
        <v>72</v>
      </c>
      <c r="F52" t="s">
        <v>91</v>
      </c>
      <c r="G52" t="s">
        <v>343</v>
      </c>
      <c r="H52" t="s">
        <v>92</v>
      </c>
      <c r="I52" t="s">
        <v>77</v>
      </c>
      <c r="J52"/>
    </row>
    <row r="53" spans="2:10" x14ac:dyDescent="0.35">
      <c r="B53">
        <v>928</v>
      </c>
      <c r="C53"/>
      <c r="D53" t="s">
        <v>124</v>
      </c>
      <c r="E53" t="s">
        <v>81</v>
      </c>
      <c r="F53" t="s">
        <v>125</v>
      </c>
      <c r="G53" t="s">
        <v>126</v>
      </c>
      <c r="H53" t="s">
        <v>126</v>
      </c>
      <c r="I53" t="s">
        <v>56</v>
      </c>
      <c r="J53"/>
    </row>
    <row r="54" spans="2:10" x14ac:dyDescent="0.35">
      <c r="B54">
        <v>930</v>
      </c>
      <c r="C54"/>
      <c r="D54" t="s">
        <v>127</v>
      </c>
      <c r="E54" t="s">
        <v>95</v>
      </c>
      <c r="F54" t="s">
        <v>128</v>
      </c>
      <c r="G54" t="s">
        <v>220</v>
      </c>
      <c r="H54" t="s">
        <v>55</v>
      </c>
      <c r="I54" t="s">
        <v>56</v>
      </c>
      <c r="J54"/>
    </row>
    <row r="55" spans="2:10" x14ac:dyDescent="0.35">
      <c r="B55">
        <v>932</v>
      </c>
      <c r="C55"/>
      <c r="D55" t="s">
        <v>129</v>
      </c>
      <c r="E55" t="s">
        <v>95</v>
      </c>
      <c r="F55" t="s">
        <v>96</v>
      </c>
      <c r="G55" t="s">
        <v>97</v>
      </c>
      <c r="H55" t="s">
        <v>97</v>
      </c>
      <c r="I55" t="s">
        <v>98</v>
      </c>
      <c r="J55"/>
    </row>
    <row r="56" spans="2:10" x14ac:dyDescent="0.35">
      <c r="B56">
        <v>966</v>
      </c>
      <c r="C56"/>
      <c r="D56" t="s">
        <v>130</v>
      </c>
      <c r="E56" t="s">
        <v>49</v>
      </c>
      <c r="F56" t="s">
        <v>102</v>
      </c>
      <c r="G56" t="s">
        <v>784</v>
      </c>
      <c r="H56" t="s">
        <v>784</v>
      </c>
      <c r="I56" t="s">
        <v>47</v>
      </c>
      <c r="J56"/>
    </row>
    <row r="57" spans="2:10" x14ac:dyDescent="0.35">
      <c r="B57">
        <v>969</v>
      </c>
      <c r="C57"/>
      <c r="D57" t="s">
        <v>131</v>
      </c>
      <c r="E57" t="s">
        <v>74</v>
      </c>
      <c r="F57" t="s">
        <v>132</v>
      </c>
      <c r="G57" t="s">
        <v>133</v>
      </c>
      <c r="H57" t="s">
        <v>133</v>
      </c>
      <c r="I57" t="s">
        <v>70</v>
      </c>
      <c r="J57"/>
    </row>
    <row r="58" spans="2:10" x14ac:dyDescent="0.35">
      <c r="B58">
        <v>974</v>
      </c>
      <c r="C58"/>
      <c r="D58" t="s">
        <v>134</v>
      </c>
      <c r="E58" t="s">
        <v>58</v>
      </c>
      <c r="F58" t="s">
        <v>50</v>
      </c>
      <c r="G58" t="s">
        <v>51</v>
      </c>
      <c r="H58" t="s">
        <v>51</v>
      </c>
      <c r="I58" t="s">
        <v>51</v>
      </c>
      <c r="J58"/>
    </row>
    <row r="59" spans="2:10" x14ac:dyDescent="0.35">
      <c r="B59">
        <v>985</v>
      </c>
      <c r="C59"/>
      <c r="D59" t="s">
        <v>814</v>
      </c>
      <c r="E59" t="s">
        <v>774</v>
      </c>
      <c r="F59" t="s">
        <v>329</v>
      </c>
      <c r="G59" t="s">
        <v>804</v>
      </c>
      <c r="H59" t="s">
        <v>330</v>
      </c>
      <c r="I59" t="s">
        <v>330</v>
      </c>
      <c r="J59"/>
    </row>
    <row r="60" spans="2:10" x14ac:dyDescent="0.35">
      <c r="B60">
        <v>993</v>
      </c>
      <c r="C60"/>
      <c r="D60" t="s">
        <v>135</v>
      </c>
      <c r="E60" t="s">
        <v>72</v>
      </c>
      <c r="F60" t="s">
        <v>91</v>
      </c>
      <c r="G60" t="s">
        <v>343</v>
      </c>
      <c r="H60" t="s">
        <v>92</v>
      </c>
      <c r="I60" t="s">
        <v>77</v>
      </c>
      <c r="J60"/>
    </row>
    <row r="61" spans="2:10" x14ac:dyDescent="0.35">
      <c r="B61">
        <v>994</v>
      </c>
      <c r="C61"/>
      <c r="D61" t="s">
        <v>136</v>
      </c>
      <c r="E61" t="s">
        <v>74</v>
      </c>
      <c r="F61" t="s">
        <v>75</v>
      </c>
      <c r="G61" t="s">
        <v>73</v>
      </c>
      <c r="H61" t="s">
        <v>76</v>
      </c>
      <c r="I61" t="s">
        <v>56</v>
      </c>
      <c r="J61"/>
    </row>
    <row r="62" spans="2:10" x14ac:dyDescent="0.35">
      <c r="B62">
        <v>1057</v>
      </c>
      <c r="C62"/>
      <c r="D62" t="s">
        <v>137</v>
      </c>
      <c r="E62" t="s">
        <v>74</v>
      </c>
      <c r="F62" t="s">
        <v>138</v>
      </c>
      <c r="G62" t="s">
        <v>139</v>
      </c>
      <c r="H62" t="s">
        <v>139</v>
      </c>
      <c r="I62" t="s">
        <v>112</v>
      </c>
      <c r="J62"/>
    </row>
    <row r="63" spans="2:10" x14ac:dyDescent="0.35">
      <c r="B63">
        <v>1062</v>
      </c>
      <c r="C63"/>
      <c r="D63" t="s">
        <v>97</v>
      </c>
      <c r="E63" t="s">
        <v>798</v>
      </c>
      <c r="F63" t="s">
        <v>206</v>
      </c>
      <c r="G63" t="s">
        <v>212</v>
      </c>
      <c r="H63" t="s">
        <v>212</v>
      </c>
      <c r="I63" t="s">
        <v>98</v>
      </c>
      <c r="J63"/>
    </row>
    <row r="64" spans="2:10" x14ac:dyDescent="0.35">
      <c r="B64">
        <v>1069</v>
      </c>
      <c r="C64"/>
      <c r="D64" t="s">
        <v>140</v>
      </c>
      <c r="E64" t="s">
        <v>81</v>
      </c>
      <c r="F64" t="s">
        <v>75</v>
      </c>
      <c r="G64" t="s">
        <v>79</v>
      </c>
      <c r="H64" t="s">
        <v>76</v>
      </c>
      <c r="I64" t="s">
        <v>56</v>
      </c>
      <c r="J64"/>
    </row>
    <row r="65" spans="2:10" x14ac:dyDescent="0.35">
      <c r="B65">
        <v>1072</v>
      </c>
      <c r="C65"/>
      <c r="D65" t="s">
        <v>815</v>
      </c>
      <c r="E65" t="s">
        <v>774</v>
      </c>
      <c r="F65" t="s">
        <v>355</v>
      </c>
      <c r="G65" t="s">
        <v>804</v>
      </c>
      <c r="H65" t="s">
        <v>92</v>
      </c>
      <c r="I65" t="s">
        <v>92</v>
      </c>
      <c r="J65"/>
    </row>
    <row r="66" spans="2:10" x14ac:dyDescent="0.35">
      <c r="B66">
        <v>1079</v>
      </c>
      <c r="C66"/>
      <c r="D66" t="s">
        <v>141</v>
      </c>
      <c r="E66" t="s">
        <v>58</v>
      </c>
      <c r="F66" t="s">
        <v>102</v>
      </c>
      <c r="G66" t="s">
        <v>784</v>
      </c>
      <c r="H66" t="s">
        <v>784</v>
      </c>
      <c r="I66" t="s">
        <v>47</v>
      </c>
      <c r="J66"/>
    </row>
    <row r="67" spans="2:10" x14ac:dyDescent="0.35">
      <c r="B67">
        <v>1088</v>
      </c>
      <c r="C67"/>
      <c r="D67" t="s">
        <v>142</v>
      </c>
      <c r="E67" t="s">
        <v>95</v>
      </c>
      <c r="F67" t="s">
        <v>68</v>
      </c>
      <c r="G67" t="s">
        <v>78</v>
      </c>
      <c r="H67" t="s">
        <v>69</v>
      </c>
      <c r="I67" t="s">
        <v>70</v>
      </c>
      <c r="J67"/>
    </row>
    <row r="68" spans="2:10" x14ac:dyDescent="0.35">
      <c r="B68">
        <v>1092</v>
      </c>
      <c r="C68"/>
      <c r="D68" t="s">
        <v>143</v>
      </c>
      <c r="E68" t="s">
        <v>74</v>
      </c>
      <c r="F68" t="s">
        <v>46</v>
      </c>
      <c r="G68" t="s">
        <v>37</v>
      </c>
      <c r="H68" t="s">
        <v>37</v>
      </c>
      <c r="I68" t="s">
        <v>47</v>
      </c>
      <c r="J68"/>
    </row>
    <row r="69" spans="2:10" x14ac:dyDescent="0.35">
      <c r="B69">
        <v>1109</v>
      </c>
      <c r="C69"/>
      <c r="D69" t="s">
        <v>183</v>
      </c>
      <c r="E69" t="s">
        <v>798</v>
      </c>
      <c r="F69" t="s">
        <v>182</v>
      </c>
      <c r="G69" t="s">
        <v>212</v>
      </c>
      <c r="H69" t="s">
        <v>212</v>
      </c>
      <c r="I69" t="s">
        <v>98</v>
      </c>
      <c r="J69"/>
    </row>
    <row r="70" spans="2:10" x14ac:dyDescent="0.35">
      <c r="B70">
        <v>1112</v>
      </c>
      <c r="C70"/>
      <c r="D70" t="s">
        <v>330</v>
      </c>
      <c r="E70" t="s">
        <v>802</v>
      </c>
      <c r="F70" t="s">
        <v>329</v>
      </c>
      <c r="G70" t="s">
        <v>56</v>
      </c>
      <c r="H70" t="s">
        <v>56</v>
      </c>
      <c r="I70" t="s">
        <v>56</v>
      </c>
      <c r="J70"/>
    </row>
    <row r="71" spans="2:10" x14ac:dyDescent="0.35">
      <c r="B71">
        <v>1123</v>
      </c>
      <c r="C71"/>
      <c r="D71" t="s">
        <v>144</v>
      </c>
      <c r="E71" t="s">
        <v>145</v>
      </c>
      <c r="F71" t="s">
        <v>54</v>
      </c>
      <c r="G71" t="s">
        <v>52</v>
      </c>
      <c r="H71" t="s">
        <v>55</v>
      </c>
      <c r="I71" t="s">
        <v>56</v>
      </c>
      <c r="J71"/>
    </row>
    <row r="72" spans="2:10" x14ac:dyDescent="0.35">
      <c r="B72">
        <v>1134</v>
      </c>
      <c r="C72"/>
      <c r="D72" t="s">
        <v>55</v>
      </c>
      <c r="E72" t="s">
        <v>802</v>
      </c>
      <c r="F72" t="s">
        <v>54</v>
      </c>
      <c r="G72" t="s">
        <v>56</v>
      </c>
      <c r="H72" t="s">
        <v>56</v>
      </c>
      <c r="I72" t="s">
        <v>816</v>
      </c>
      <c r="J72"/>
    </row>
    <row r="73" spans="2:10" x14ac:dyDescent="0.35">
      <c r="B73">
        <v>1139</v>
      </c>
      <c r="C73"/>
      <c r="D73" t="s">
        <v>146</v>
      </c>
      <c r="E73" t="s">
        <v>72</v>
      </c>
      <c r="F73" t="s">
        <v>86</v>
      </c>
      <c r="G73" t="s">
        <v>85</v>
      </c>
      <c r="H73" t="s">
        <v>87</v>
      </c>
      <c r="I73" t="s">
        <v>77</v>
      </c>
      <c r="J73"/>
    </row>
    <row r="74" spans="2:10" x14ac:dyDescent="0.35">
      <c r="B74">
        <v>1140</v>
      </c>
      <c r="C74"/>
      <c r="D74" t="s">
        <v>147</v>
      </c>
      <c r="E74" t="s">
        <v>45</v>
      </c>
      <c r="F74" t="s">
        <v>83</v>
      </c>
      <c r="G74" t="s">
        <v>238</v>
      </c>
      <c r="H74" t="s">
        <v>69</v>
      </c>
      <c r="I74" t="s">
        <v>70</v>
      </c>
      <c r="J74"/>
    </row>
    <row r="75" spans="2:10" x14ac:dyDescent="0.35">
      <c r="B75">
        <v>1148</v>
      </c>
      <c r="C75"/>
      <c r="D75" t="s">
        <v>139</v>
      </c>
      <c r="E75" t="s">
        <v>798</v>
      </c>
      <c r="F75" t="s">
        <v>138</v>
      </c>
      <c r="G75" t="s">
        <v>112</v>
      </c>
      <c r="H75" t="s">
        <v>112</v>
      </c>
      <c r="I75" t="s">
        <v>112</v>
      </c>
      <c r="J75"/>
    </row>
    <row r="76" spans="2:10" x14ac:dyDescent="0.35">
      <c r="B76">
        <v>1170</v>
      </c>
      <c r="C76"/>
      <c r="D76" t="s">
        <v>148</v>
      </c>
      <c r="E76" t="s">
        <v>81</v>
      </c>
      <c r="F76" t="s">
        <v>149</v>
      </c>
      <c r="G76" t="s">
        <v>250</v>
      </c>
      <c r="H76" t="s">
        <v>87</v>
      </c>
      <c r="I76" t="s">
        <v>77</v>
      </c>
      <c r="J76"/>
    </row>
    <row r="77" spans="2:10" x14ac:dyDescent="0.35">
      <c r="B77">
        <v>1188</v>
      </c>
      <c r="C77"/>
      <c r="D77" t="s">
        <v>817</v>
      </c>
      <c r="E77" t="s">
        <v>774</v>
      </c>
      <c r="F77" t="s">
        <v>329</v>
      </c>
      <c r="G77" t="s">
        <v>804</v>
      </c>
      <c r="H77" t="s">
        <v>330</v>
      </c>
      <c r="I77" t="s">
        <v>330</v>
      </c>
      <c r="J77"/>
    </row>
    <row r="78" spans="2:10" x14ac:dyDescent="0.35">
      <c r="B78">
        <v>1208</v>
      </c>
      <c r="C78"/>
      <c r="D78" t="s">
        <v>150</v>
      </c>
      <c r="E78" t="s">
        <v>74</v>
      </c>
      <c r="F78" t="s">
        <v>151</v>
      </c>
      <c r="G78" t="s">
        <v>152</v>
      </c>
      <c r="H78" t="s">
        <v>152</v>
      </c>
      <c r="I78" t="s">
        <v>70</v>
      </c>
      <c r="J78"/>
    </row>
    <row r="79" spans="2:10" x14ac:dyDescent="0.35">
      <c r="B79">
        <v>1210</v>
      </c>
      <c r="C79"/>
      <c r="D79" t="s">
        <v>153</v>
      </c>
      <c r="E79" t="s">
        <v>45</v>
      </c>
      <c r="F79" t="s">
        <v>54</v>
      </c>
      <c r="G79" t="s">
        <v>52</v>
      </c>
      <c r="H79" t="s">
        <v>55</v>
      </c>
      <c r="I79" t="s">
        <v>56</v>
      </c>
      <c r="J79"/>
    </row>
    <row r="80" spans="2:10" x14ac:dyDescent="0.35">
      <c r="B80">
        <v>1234</v>
      </c>
      <c r="C80"/>
      <c r="D80" t="s">
        <v>154</v>
      </c>
      <c r="E80" t="s">
        <v>72</v>
      </c>
      <c r="F80" t="s">
        <v>91</v>
      </c>
      <c r="G80" t="s">
        <v>343</v>
      </c>
      <c r="H80" t="s">
        <v>92</v>
      </c>
      <c r="I80" t="s">
        <v>77</v>
      </c>
      <c r="J80"/>
    </row>
    <row r="81" spans="2:10" x14ac:dyDescent="0.35">
      <c r="B81">
        <v>1235</v>
      </c>
      <c r="C81"/>
      <c r="D81" t="s">
        <v>155</v>
      </c>
      <c r="E81" t="s">
        <v>81</v>
      </c>
      <c r="F81" t="s">
        <v>125</v>
      </c>
      <c r="G81" t="s">
        <v>126</v>
      </c>
      <c r="H81" t="s">
        <v>126</v>
      </c>
      <c r="I81" t="s">
        <v>56</v>
      </c>
      <c r="J81"/>
    </row>
    <row r="82" spans="2:10" x14ac:dyDescent="0.35">
      <c r="B82">
        <v>1238</v>
      </c>
      <c r="C82"/>
      <c r="D82" t="s">
        <v>112</v>
      </c>
      <c r="E82" t="s">
        <v>818</v>
      </c>
      <c r="F82" t="s">
        <v>188</v>
      </c>
      <c r="G82" t="s">
        <v>77</v>
      </c>
      <c r="H82" t="s">
        <v>77</v>
      </c>
      <c r="I82" t="s">
        <v>77</v>
      </c>
      <c r="J82"/>
    </row>
    <row r="83" spans="2:10" x14ac:dyDescent="0.35">
      <c r="B83">
        <v>1250</v>
      </c>
      <c r="C83"/>
      <c r="D83" t="s">
        <v>156</v>
      </c>
      <c r="E83" t="s">
        <v>74</v>
      </c>
      <c r="F83" t="s">
        <v>157</v>
      </c>
      <c r="G83" t="s">
        <v>158</v>
      </c>
      <c r="H83" t="s">
        <v>158</v>
      </c>
      <c r="I83" t="s">
        <v>98</v>
      </c>
      <c r="J83"/>
    </row>
    <row r="84" spans="2:10" x14ac:dyDescent="0.35">
      <c r="B84">
        <v>1251</v>
      </c>
      <c r="C84"/>
      <c r="D84" t="s">
        <v>159</v>
      </c>
      <c r="E84" t="s">
        <v>45</v>
      </c>
      <c r="F84" t="s">
        <v>128</v>
      </c>
      <c r="G84" t="s">
        <v>220</v>
      </c>
      <c r="H84" t="s">
        <v>55</v>
      </c>
      <c r="I84" t="s">
        <v>56</v>
      </c>
      <c r="J84"/>
    </row>
    <row r="85" spans="2:10" x14ac:dyDescent="0.35">
      <c r="B85">
        <v>1260</v>
      </c>
      <c r="C85"/>
      <c r="D85" t="s">
        <v>819</v>
      </c>
      <c r="E85" t="s">
        <v>774</v>
      </c>
      <c r="F85" t="s">
        <v>355</v>
      </c>
      <c r="G85" t="s">
        <v>804</v>
      </c>
      <c r="H85" t="s">
        <v>92</v>
      </c>
      <c r="I85" t="s">
        <v>92</v>
      </c>
      <c r="J85"/>
    </row>
    <row r="86" spans="2:10" x14ac:dyDescent="0.35">
      <c r="B86">
        <v>1261</v>
      </c>
      <c r="C86"/>
      <c r="D86" t="s">
        <v>264</v>
      </c>
      <c r="E86" t="s">
        <v>798</v>
      </c>
      <c r="F86" t="s">
        <v>263</v>
      </c>
      <c r="G86" t="s">
        <v>51</v>
      </c>
      <c r="H86" t="s">
        <v>51</v>
      </c>
      <c r="I86" t="s">
        <v>51</v>
      </c>
      <c r="J86"/>
    </row>
    <row r="87" spans="2:10" x14ac:dyDescent="0.35">
      <c r="B87">
        <v>1262</v>
      </c>
      <c r="C87"/>
      <c r="D87" t="s">
        <v>160</v>
      </c>
      <c r="E87" t="s">
        <v>72</v>
      </c>
      <c r="F87" t="s">
        <v>75</v>
      </c>
      <c r="G87" t="s">
        <v>73</v>
      </c>
      <c r="H87" t="s">
        <v>76</v>
      </c>
      <c r="I87" t="s">
        <v>56</v>
      </c>
      <c r="J87"/>
    </row>
    <row r="88" spans="2:10" x14ac:dyDescent="0.35">
      <c r="B88">
        <v>1265</v>
      </c>
      <c r="C88"/>
      <c r="D88" t="s">
        <v>161</v>
      </c>
      <c r="E88" t="s">
        <v>45</v>
      </c>
      <c r="F88" t="s">
        <v>75</v>
      </c>
      <c r="G88" t="s">
        <v>266</v>
      </c>
      <c r="H88" t="s">
        <v>76</v>
      </c>
      <c r="I88" t="s">
        <v>56</v>
      </c>
      <c r="J88"/>
    </row>
    <row r="89" spans="2:10" x14ac:dyDescent="0.35">
      <c r="B89">
        <v>1266</v>
      </c>
      <c r="C89"/>
      <c r="D89" t="s">
        <v>820</v>
      </c>
      <c r="E89" t="s">
        <v>774</v>
      </c>
      <c r="F89" t="s">
        <v>812</v>
      </c>
      <c r="G89" t="s">
        <v>807</v>
      </c>
      <c r="H89" t="s">
        <v>811</v>
      </c>
      <c r="I89" t="s">
        <v>811</v>
      </c>
      <c r="J89"/>
    </row>
    <row r="90" spans="2:10" x14ac:dyDescent="0.35">
      <c r="B90">
        <v>1270</v>
      </c>
      <c r="C90"/>
      <c r="D90" t="s">
        <v>162</v>
      </c>
      <c r="E90" t="s">
        <v>81</v>
      </c>
      <c r="F90" t="s">
        <v>125</v>
      </c>
      <c r="G90" t="s">
        <v>126</v>
      </c>
      <c r="H90" t="s">
        <v>126</v>
      </c>
      <c r="I90" t="s">
        <v>56</v>
      </c>
      <c r="J90"/>
    </row>
    <row r="91" spans="2:10" x14ac:dyDescent="0.35">
      <c r="B91">
        <v>1281</v>
      </c>
      <c r="C91"/>
      <c r="D91" t="s">
        <v>163</v>
      </c>
      <c r="E91" t="s">
        <v>45</v>
      </c>
      <c r="F91" t="s">
        <v>107</v>
      </c>
      <c r="G91" t="s">
        <v>108</v>
      </c>
      <c r="H91" t="s">
        <v>108</v>
      </c>
      <c r="I91" t="s">
        <v>98</v>
      </c>
      <c r="J91"/>
    </row>
    <row r="92" spans="2:10" x14ac:dyDescent="0.35">
      <c r="B92">
        <v>1283</v>
      </c>
      <c r="C92"/>
      <c r="D92" t="s">
        <v>164</v>
      </c>
      <c r="E92" t="s">
        <v>165</v>
      </c>
      <c r="F92" t="s">
        <v>107</v>
      </c>
      <c r="G92" t="s">
        <v>108</v>
      </c>
      <c r="H92" t="s">
        <v>108</v>
      </c>
      <c r="I92" t="s">
        <v>98</v>
      </c>
      <c r="J92"/>
    </row>
    <row r="93" spans="2:10" x14ac:dyDescent="0.35">
      <c r="B93">
        <v>1286</v>
      </c>
      <c r="C93"/>
      <c r="D93" t="s">
        <v>166</v>
      </c>
      <c r="E93" t="s">
        <v>74</v>
      </c>
      <c r="F93" t="s">
        <v>167</v>
      </c>
      <c r="G93" t="s">
        <v>168</v>
      </c>
      <c r="H93" t="s">
        <v>168</v>
      </c>
      <c r="I93" t="s">
        <v>56</v>
      </c>
      <c r="J93"/>
    </row>
    <row r="94" spans="2:10" x14ac:dyDescent="0.35">
      <c r="B94">
        <v>1293</v>
      </c>
      <c r="C94"/>
      <c r="D94" t="s">
        <v>111</v>
      </c>
      <c r="E94" t="s">
        <v>798</v>
      </c>
      <c r="F94" t="s">
        <v>110</v>
      </c>
      <c r="G94" t="s">
        <v>112</v>
      </c>
      <c r="H94" t="s">
        <v>112</v>
      </c>
      <c r="I94" t="s">
        <v>112</v>
      </c>
      <c r="J94"/>
    </row>
    <row r="95" spans="2:10" x14ac:dyDescent="0.35">
      <c r="B95">
        <v>1296</v>
      </c>
      <c r="C95"/>
      <c r="D95" t="s">
        <v>98</v>
      </c>
      <c r="E95" t="s">
        <v>821</v>
      </c>
      <c r="F95" t="s">
        <v>157</v>
      </c>
      <c r="G95" t="s">
        <v>70</v>
      </c>
      <c r="H95" t="s">
        <v>70</v>
      </c>
      <c r="I95" t="s">
        <v>70</v>
      </c>
      <c r="J95"/>
    </row>
    <row r="96" spans="2:10" x14ac:dyDescent="0.35">
      <c r="B96">
        <v>1301</v>
      </c>
      <c r="C96"/>
      <c r="D96" t="s">
        <v>169</v>
      </c>
      <c r="E96" t="s">
        <v>72</v>
      </c>
      <c r="F96" t="s">
        <v>75</v>
      </c>
      <c r="G96" t="s">
        <v>73</v>
      </c>
      <c r="H96" t="s">
        <v>76</v>
      </c>
      <c r="I96" t="s">
        <v>56</v>
      </c>
      <c r="J96"/>
    </row>
    <row r="97" spans="2:10" x14ac:dyDescent="0.35">
      <c r="B97">
        <v>1312</v>
      </c>
      <c r="C97"/>
      <c r="D97" t="s">
        <v>170</v>
      </c>
      <c r="E97" t="s">
        <v>74</v>
      </c>
      <c r="F97" t="s">
        <v>86</v>
      </c>
      <c r="G97" t="s">
        <v>87</v>
      </c>
      <c r="H97" t="s">
        <v>87</v>
      </c>
      <c r="I97" t="s">
        <v>77</v>
      </c>
      <c r="J97"/>
    </row>
    <row r="98" spans="2:10" x14ac:dyDescent="0.35">
      <c r="B98">
        <v>1315</v>
      </c>
      <c r="C98"/>
      <c r="D98" t="s">
        <v>171</v>
      </c>
      <c r="E98" t="s">
        <v>62</v>
      </c>
      <c r="F98" t="s">
        <v>149</v>
      </c>
      <c r="G98" t="s">
        <v>250</v>
      </c>
      <c r="H98" t="s">
        <v>87</v>
      </c>
      <c r="I98" t="s">
        <v>77</v>
      </c>
      <c r="J98"/>
    </row>
    <row r="99" spans="2:10" x14ac:dyDescent="0.35">
      <c r="B99">
        <v>1316</v>
      </c>
      <c r="C99"/>
      <c r="D99" t="s">
        <v>172</v>
      </c>
      <c r="E99" t="s">
        <v>74</v>
      </c>
      <c r="F99" t="s">
        <v>86</v>
      </c>
      <c r="G99" t="s">
        <v>87</v>
      </c>
      <c r="H99" t="s">
        <v>87</v>
      </c>
      <c r="I99" t="s">
        <v>77</v>
      </c>
      <c r="J99"/>
    </row>
    <row r="100" spans="2:10" x14ac:dyDescent="0.35">
      <c r="B100">
        <v>1317</v>
      </c>
      <c r="C100"/>
      <c r="D100" t="s">
        <v>822</v>
      </c>
      <c r="E100" t="s">
        <v>774</v>
      </c>
      <c r="F100" t="s">
        <v>232</v>
      </c>
      <c r="G100" t="s">
        <v>804</v>
      </c>
      <c r="H100" t="s">
        <v>233</v>
      </c>
      <c r="I100" t="s">
        <v>233</v>
      </c>
      <c r="J100"/>
    </row>
    <row r="101" spans="2:10" x14ac:dyDescent="0.35">
      <c r="B101">
        <v>1318</v>
      </c>
      <c r="C101"/>
      <c r="D101" t="s">
        <v>173</v>
      </c>
      <c r="E101" t="s">
        <v>67</v>
      </c>
      <c r="F101" t="s">
        <v>86</v>
      </c>
      <c r="G101" t="s">
        <v>172</v>
      </c>
      <c r="H101" t="s">
        <v>87</v>
      </c>
      <c r="I101" t="s">
        <v>77</v>
      </c>
      <c r="J101"/>
    </row>
    <row r="102" spans="2:10" x14ac:dyDescent="0.35">
      <c r="B102">
        <v>1320</v>
      </c>
      <c r="C102"/>
      <c r="D102" t="s">
        <v>174</v>
      </c>
      <c r="E102" t="s">
        <v>67</v>
      </c>
      <c r="F102" t="s">
        <v>86</v>
      </c>
      <c r="G102" t="s">
        <v>85</v>
      </c>
      <c r="H102" t="s">
        <v>87</v>
      </c>
      <c r="I102" t="s">
        <v>77</v>
      </c>
      <c r="J102"/>
    </row>
    <row r="103" spans="2:10" x14ac:dyDescent="0.35">
      <c r="B103">
        <v>1321</v>
      </c>
      <c r="C103"/>
      <c r="D103" t="s">
        <v>175</v>
      </c>
      <c r="E103" t="s">
        <v>74</v>
      </c>
      <c r="F103" t="s">
        <v>86</v>
      </c>
      <c r="G103" t="s">
        <v>87</v>
      </c>
      <c r="H103" t="s">
        <v>87</v>
      </c>
      <c r="I103" t="s">
        <v>77</v>
      </c>
      <c r="J103"/>
    </row>
    <row r="104" spans="2:10" x14ac:dyDescent="0.35">
      <c r="B104">
        <v>1322</v>
      </c>
      <c r="C104"/>
      <c r="D104" t="s">
        <v>176</v>
      </c>
      <c r="E104" t="s">
        <v>81</v>
      </c>
      <c r="F104" t="s">
        <v>75</v>
      </c>
      <c r="G104" t="s">
        <v>79</v>
      </c>
      <c r="H104" t="s">
        <v>76</v>
      </c>
      <c r="I104" t="s">
        <v>56</v>
      </c>
      <c r="J104"/>
    </row>
    <row r="105" spans="2:10" x14ac:dyDescent="0.35">
      <c r="B105">
        <v>1328</v>
      </c>
      <c r="C105"/>
      <c r="D105" t="s">
        <v>177</v>
      </c>
      <c r="E105" t="s">
        <v>67</v>
      </c>
      <c r="F105" t="s">
        <v>86</v>
      </c>
      <c r="G105" t="s">
        <v>172</v>
      </c>
      <c r="H105" t="s">
        <v>87</v>
      </c>
      <c r="I105" t="s">
        <v>77</v>
      </c>
      <c r="J105"/>
    </row>
    <row r="106" spans="2:10" x14ac:dyDescent="0.35">
      <c r="B106">
        <v>1330</v>
      </c>
      <c r="C106"/>
      <c r="D106" t="s">
        <v>178</v>
      </c>
      <c r="E106" t="s">
        <v>67</v>
      </c>
      <c r="F106" t="s">
        <v>86</v>
      </c>
      <c r="G106" t="s">
        <v>85</v>
      </c>
      <c r="H106" t="s">
        <v>87</v>
      </c>
      <c r="I106" t="s">
        <v>77</v>
      </c>
      <c r="J106"/>
    </row>
    <row r="107" spans="2:10" x14ac:dyDescent="0.35">
      <c r="B107">
        <v>1336</v>
      </c>
      <c r="C107"/>
      <c r="D107" t="s">
        <v>179</v>
      </c>
      <c r="E107" t="s">
        <v>67</v>
      </c>
      <c r="F107" t="s">
        <v>86</v>
      </c>
      <c r="G107" t="s">
        <v>172</v>
      </c>
      <c r="H107" t="s">
        <v>87</v>
      </c>
      <c r="I107" t="s">
        <v>77</v>
      </c>
      <c r="J107"/>
    </row>
    <row r="108" spans="2:10" x14ac:dyDescent="0.35">
      <c r="B108">
        <v>1339</v>
      </c>
      <c r="C108"/>
      <c r="D108" t="s">
        <v>180</v>
      </c>
      <c r="E108" t="s">
        <v>67</v>
      </c>
      <c r="F108" t="s">
        <v>86</v>
      </c>
      <c r="G108" t="s">
        <v>170</v>
      </c>
      <c r="H108" t="s">
        <v>87</v>
      </c>
      <c r="I108" t="s">
        <v>77</v>
      </c>
      <c r="J108"/>
    </row>
    <row r="109" spans="2:10" x14ac:dyDescent="0.35">
      <c r="B109">
        <v>1342</v>
      </c>
      <c r="C109"/>
      <c r="D109" t="s">
        <v>181</v>
      </c>
      <c r="E109" t="s">
        <v>62</v>
      </c>
      <c r="F109" t="s">
        <v>182</v>
      </c>
      <c r="G109" t="s">
        <v>183</v>
      </c>
      <c r="H109" t="s">
        <v>183</v>
      </c>
      <c r="I109" t="s">
        <v>98</v>
      </c>
      <c r="J109"/>
    </row>
    <row r="110" spans="2:10" x14ac:dyDescent="0.35">
      <c r="B110">
        <v>1343</v>
      </c>
      <c r="C110"/>
      <c r="D110" t="s">
        <v>184</v>
      </c>
      <c r="E110" t="s">
        <v>72</v>
      </c>
      <c r="F110" t="s">
        <v>86</v>
      </c>
      <c r="G110" t="s">
        <v>85</v>
      </c>
      <c r="H110" t="s">
        <v>87</v>
      </c>
      <c r="I110" t="s">
        <v>77</v>
      </c>
      <c r="J110"/>
    </row>
    <row r="111" spans="2:10" x14ac:dyDescent="0.35">
      <c r="B111">
        <v>1345</v>
      </c>
      <c r="C111"/>
      <c r="D111" t="s">
        <v>185</v>
      </c>
      <c r="E111" t="s">
        <v>67</v>
      </c>
      <c r="F111" t="s">
        <v>86</v>
      </c>
      <c r="G111" t="s">
        <v>170</v>
      </c>
      <c r="H111" t="s">
        <v>87</v>
      </c>
      <c r="I111" t="s">
        <v>77</v>
      </c>
      <c r="J111"/>
    </row>
    <row r="112" spans="2:10" x14ac:dyDescent="0.35">
      <c r="B112">
        <v>1350</v>
      </c>
      <c r="C112"/>
      <c r="D112" t="s">
        <v>186</v>
      </c>
      <c r="E112" t="s">
        <v>72</v>
      </c>
      <c r="F112" t="s">
        <v>86</v>
      </c>
      <c r="G112" t="s">
        <v>85</v>
      </c>
      <c r="H112" t="s">
        <v>87</v>
      </c>
      <c r="I112" t="s">
        <v>77</v>
      </c>
      <c r="J112"/>
    </row>
    <row r="113" spans="2:10" x14ac:dyDescent="0.35">
      <c r="B113">
        <v>1360</v>
      </c>
      <c r="C113"/>
      <c r="D113" t="s">
        <v>187</v>
      </c>
      <c r="E113" t="s">
        <v>81</v>
      </c>
      <c r="F113" t="s">
        <v>188</v>
      </c>
      <c r="G113" t="s">
        <v>271</v>
      </c>
      <c r="H113" t="s">
        <v>112</v>
      </c>
      <c r="I113" t="s">
        <v>112</v>
      </c>
      <c r="J113"/>
    </row>
    <row r="114" spans="2:10" x14ac:dyDescent="0.35">
      <c r="B114">
        <v>1367</v>
      </c>
      <c r="C114"/>
      <c r="D114" t="s">
        <v>189</v>
      </c>
      <c r="E114" t="s">
        <v>62</v>
      </c>
      <c r="F114" t="s">
        <v>138</v>
      </c>
      <c r="G114" t="s">
        <v>139</v>
      </c>
      <c r="H114" t="s">
        <v>139</v>
      </c>
      <c r="I114" t="s">
        <v>112</v>
      </c>
      <c r="J114"/>
    </row>
    <row r="115" spans="2:10" x14ac:dyDescent="0.35">
      <c r="B115">
        <v>1370</v>
      </c>
      <c r="C115"/>
      <c r="D115" t="s">
        <v>823</v>
      </c>
      <c r="E115" t="s">
        <v>774</v>
      </c>
      <c r="F115" t="s">
        <v>232</v>
      </c>
      <c r="G115" t="s">
        <v>804</v>
      </c>
      <c r="H115" t="s">
        <v>233</v>
      </c>
      <c r="I115" t="s">
        <v>233</v>
      </c>
      <c r="J115"/>
    </row>
    <row r="116" spans="2:10" x14ac:dyDescent="0.35">
      <c r="B116">
        <v>1371</v>
      </c>
      <c r="C116"/>
      <c r="D116" t="s">
        <v>190</v>
      </c>
      <c r="E116" t="s">
        <v>67</v>
      </c>
      <c r="F116" t="s">
        <v>86</v>
      </c>
      <c r="G116" t="s">
        <v>85</v>
      </c>
      <c r="H116" t="s">
        <v>87</v>
      </c>
      <c r="I116" t="s">
        <v>77</v>
      </c>
      <c r="J116"/>
    </row>
    <row r="117" spans="2:10" x14ac:dyDescent="0.35">
      <c r="B117">
        <v>1380</v>
      </c>
      <c r="C117"/>
      <c r="D117" t="s">
        <v>191</v>
      </c>
      <c r="E117" t="s">
        <v>72</v>
      </c>
      <c r="F117" t="s">
        <v>86</v>
      </c>
      <c r="G117" t="s">
        <v>170</v>
      </c>
      <c r="H117" t="s">
        <v>87</v>
      </c>
      <c r="I117" t="s">
        <v>77</v>
      </c>
      <c r="J117"/>
    </row>
    <row r="118" spans="2:10" x14ac:dyDescent="0.35">
      <c r="B118">
        <v>1384</v>
      </c>
      <c r="C118"/>
      <c r="D118" t="s">
        <v>192</v>
      </c>
      <c r="E118" t="s">
        <v>49</v>
      </c>
      <c r="F118" t="s">
        <v>68</v>
      </c>
      <c r="G118" t="s">
        <v>78</v>
      </c>
      <c r="H118" t="s">
        <v>69</v>
      </c>
      <c r="I118" t="s">
        <v>70</v>
      </c>
      <c r="J118"/>
    </row>
    <row r="119" spans="2:10" x14ac:dyDescent="0.35">
      <c r="B119">
        <v>1385</v>
      </c>
      <c r="C119"/>
      <c r="D119" t="s">
        <v>193</v>
      </c>
      <c r="E119" t="s">
        <v>72</v>
      </c>
      <c r="F119" t="s">
        <v>86</v>
      </c>
      <c r="G119" t="s">
        <v>85</v>
      </c>
      <c r="H119" t="s">
        <v>87</v>
      </c>
      <c r="I119" t="s">
        <v>77</v>
      </c>
      <c r="J119"/>
    </row>
    <row r="120" spans="2:10" x14ac:dyDescent="0.35">
      <c r="B120">
        <v>1386</v>
      </c>
      <c r="C120"/>
      <c r="D120" t="s">
        <v>194</v>
      </c>
      <c r="E120" t="s">
        <v>72</v>
      </c>
      <c r="F120" t="s">
        <v>68</v>
      </c>
      <c r="G120" t="s">
        <v>78</v>
      </c>
      <c r="H120" t="s">
        <v>69</v>
      </c>
      <c r="I120" t="s">
        <v>70</v>
      </c>
      <c r="J120"/>
    </row>
    <row r="121" spans="2:10" x14ac:dyDescent="0.35">
      <c r="B121">
        <v>1387</v>
      </c>
      <c r="C121"/>
      <c r="D121" t="s">
        <v>195</v>
      </c>
      <c r="E121" t="s">
        <v>81</v>
      </c>
      <c r="F121" t="s">
        <v>83</v>
      </c>
      <c r="G121" t="s">
        <v>69</v>
      </c>
      <c r="H121" t="s">
        <v>69</v>
      </c>
      <c r="I121" t="s">
        <v>70</v>
      </c>
      <c r="J121"/>
    </row>
    <row r="122" spans="2:10" x14ac:dyDescent="0.35">
      <c r="B122">
        <v>1388</v>
      </c>
      <c r="C122"/>
      <c r="D122" t="s">
        <v>196</v>
      </c>
      <c r="E122" t="s">
        <v>49</v>
      </c>
      <c r="F122" t="s">
        <v>102</v>
      </c>
      <c r="G122" t="s">
        <v>784</v>
      </c>
      <c r="H122" t="s">
        <v>784</v>
      </c>
      <c r="I122" t="s">
        <v>47</v>
      </c>
      <c r="J122"/>
    </row>
    <row r="123" spans="2:10" x14ac:dyDescent="0.35">
      <c r="B123">
        <v>1390</v>
      </c>
      <c r="C123"/>
      <c r="D123" t="s">
        <v>197</v>
      </c>
      <c r="E123" t="s">
        <v>45</v>
      </c>
      <c r="F123" t="s">
        <v>198</v>
      </c>
      <c r="G123" t="s">
        <v>199</v>
      </c>
      <c r="H123" t="s">
        <v>199</v>
      </c>
      <c r="I123" t="s">
        <v>51</v>
      </c>
      <c r="J123"/>
    </row>
    <row r="124" spans="2:10" x14ac:dyDescent="0.35">
      <c r="B124">
        <v>1398</v>
      </c>
      <c r="C124"/>
      <c r="D124" t="s">
        <v>200</v>
      </c>
      <c r="E124" t="s">
        <v>67</v>
      </c>
      <c r="F124" t="s">
        <v>91</v>
      </c>
      <c r="G124" t="s">
        <v>343</v>
      </c>
      <c r="H124" t="s">
        <v>92</v>
      </c>
      <c r="I124" t="s">
        <v>77</v>
      </c>
      <c r="J124"/>
    </row>
    <row r="125" spans="2:10" x14ac:dyDescent="0.35">
      <c r="B125">
        <v>1399</v>
      </c>
      <c r="C125"/>
      <c r="D125" t="s">
        <v>824</v>
      </c>
      <c r="E125" t="s">
        <v>774</v>
      </c>
      <c r="F125" t="s">
        <v>151</v>
      </c>
      <c r="G125" t="s">
        <v>807</v>
      </c>
      <c r="H125" t="s">
        <v>152</v>
      </c>
      <c r="I125" t="s">
        <v>152</v>
      </c>
      <c r="J125"/>
    </row>
    <row r="126" spans="2:10" x14ac:dyDescent="0.35">
      <c r="B126">
        <v>1402</v>
      </c>
      <c r="C126"/>
      <c r="D126" t="s">
        <v>201</v>
      </c>
      <c r="E126" t="s">
        <v>165</v>
      </c>
      <c r="F126" t="s">
        <v>46</v>
      </c>
      <c r="G126" t="s">
        <v>37</v>
      </c>
      <c r="H126" t="s">
        <v>37</v>
      </c>
      <c r="I126" t="s">
        <v>47</v>
      </c>
      <c r="J126"/>
    </row>
    <row r="127" spans="2:10" x14ac:dyDescent="0.35">
      <c r="B127">
        <v>1417</v>
      </c>
      <c r="C127"/>
      <c r="D127" t="s">
        <v>108</v>
      </c>
      <c r="E127" t="s">
        <v>798</v>
      </c>
      <c r="F127" t="s">
        <v>107</v>
      </c>
      <c r="G127" t="s">
        <v>212</v>
      </c>
      <c r="H127" t="s">
        <v>212</v>
      </c>
      <c r="I127" t="s">
        <v>98</v>
      </c>
      <c r="J127"/>
    </row>
    <row r="128" spans="2:10" x14ac:dyDescent="0.35">
      <c r="B128">
        <v>1419</v>
      </c>
      <c r="C128"/>
      <c r="D128" t="s">
        <v>202</v>
      </c>
      <c r="E128" t="s">
        <v>72</v>
      </c>
      <c r="F128" t="s">
        <v>86</v>
      </c>
      <c r="G128" t="s">
        <v>85</v>
      </c>
      <c r="H128" t="s">
        <v>87</v>
      </c>
      <c r="I128" t="s">
        <v>77</v>
      </c>
      <c r="J128"/>
    </row>
    <row r="129" spans="2:10" x14ac:dyDescent="0.35">
      <c r="B129">
        <v>1422</v>
      </c>
      <c r="C129"/>
      <c r="D129" t="s">
        <v>203</v>
      </c>
      <c r="E129" t="s">
        <v>74</v>
      </c>
      <c r="F129" t="s">
        <v>204</v>
      </c>
      <c r="G129" t="s">
        <v>69</v>
      </c>
      <c r="H129" t="s">
        <v>69</v>
      </c>
      <c r="I129" t="s">
        <v>70</v>
      </c>
      <c r="J129"/>
    </row>
    <row r="130" spans="2:10" x14ac:dyDescent="0.35">
      <c r="B130">
        <v>1423</v>
      </c>
      <c r="C130"/>
      <c r="D130" t="s">
        <v>825</v>
      </c>
      <c r="E130" t="s">
        <v>774</v>
      </c>
      <c r="F130" t="s">
        <v>812</v>
      </c>
      <c r="G130" t="s">
        <v>807</v>
      </c>
      <c r="H130" t="s">
        <v>811</v>
      </c>
      <c r="I130" t="s">
        <v>811</v>
      </c>
      <c r="J130"/>
    </row>
    <row r="131" spans="2:10" x14ac:dyDescent="0.35">
      <c r="B131">
        <v>1428</v>
      </c>
      <c r="C131"/>
      <c r="D131" t="s">
        <v>205</v>
      </c>
      <c r="E131" t="s">
        <v>81</v>
      </c>
      <c r="F131" t="s">
        <v>206</v>
      </c>
      <c r="G131" t="s">
        <v>97</v>
      </c>
      <c r="H131" t="s">
        <v>97</v>
      </c>
      <c r="I131" t="s">
        <v>98</v>
      </c>
      <c r="J131"/>
    </row>
    <row r="132" spans="2:10" x14ac:dyDescent="0.35">
      <c r="B132">
        <v>1431</v>
      </c>
      <c r="C132"/>
      <c r="D132" t="s">
        <v>207</v>
      </c>
      <c r="E132" t="s">
        <v>74</v>
      </c>
      <c r="F132" t="s">
        <v>46</v>
      </c>
      <c r="G132" t="s">
        <v>37</v>
      </c>
      <c r="H132" t="s">
        <v>37</v>
      </c>
      <c r="I132" t="s">
        <v>47</v>
      </c>
      <c r="J132"/>
    </row>
    <row r="133" spans="2:10" x14ac:dyDescent="0.35">
      <c r="B133">
        <v>1432</v>
      </c>
      <c r="C133"/>
      <c r="D133" t="s">
        <v>208</v>
      </c>
      <c r="E133" t="s">
        <v>74</v>
      </c>
      <c r="F133" t="s">
        <v>59</v>
      </c>
      <c r="G133" t="s">
        <v>60</v>
      </c>
      <c r="H133" t="s">
        <v>60</v>
      </c>
      <c r="I133" t="s">
        <v>47</v>
      </c>
      <c r="J133"/>
    </row>
    <row r="134" spans="2:10" x14ac:dyDescent="0.35">
      <c r="B134">
        <v>1434</v>
      </c>
      <c r="C134"/>
      <c r="D134" t="s">
        <v>209</v>
      </c>
      <c r="E134" t="s">
        <v>72</v>
      </c>
      <c r="F134" t="s">
        <v>91</v>
      </c>
      <c r="G134" t="s">
        <v>343</v>
      </c>
      <c r="H134" t="s">
        <v>92</v>
      </c>
      <c r="I134" t="s">
        <v>77</v>
      </c>
      <c r="J134"/>
    </row>
    <row r="135" spans="2:10" x14ac:dyDescent="0.35">
      <c r="B135">
        <v>1437</v>
      </c>
      <c r="C135"/>
      <c r="D135" t="s">
        <v>826</v>
      </c>
      <c r="E135" t="s">
        <v>774</v>
      </c>
      <c r="F135" t="s">
        <v>151</v>
      </c>
      <c r="G135" t="s">
        <v>807</v>
      </c>
      <c r="H135" t="s">
        <v>152</v>
      </c>
      <c r="I135" t="s">
        <v>152</v>
      </c>
      <c r="J135"/>
    </row>
    <row r="136" spans="2:10" x14ac:dyDescent="0.35">
      <c r="B136">
        <v>1438</v>
      </c>
      <c r="C136"/>
      <c r="D136" t="s">
        <v>210</v>
      </c>
      <c r="E136" t="s">
        <v>45</v>
      </c>
      <c r="F136" t="s">
        <v>211</v>
      </c>
      <c r="G136" t="s">
        <v>212</v>
      </c>
      <c r="H136" t="s">
        <v>212</v>
      </c>
      <c r="I136" t="s">
        <v>98</v>
      </c>
      <c r="J136"/>
    </row>
    <row r="137" spans="2:10" x14ac:dyDescent="0.35">
      <c r="B137">
        <v>1444</v>
      </c>
      <c r="C137"/>
      <c r="D137" t="s">
        <v>213</v>
      </c>
      <c r="E137" t="s">
        <v>72</v>
      </c>
      <c r="F137" t="s">
        <v>91</v>
      </c>
      <c r="G137" t="s">
        <v>343</v>
      </c>
      <c r="H137" t="s">
        <v>92</v>
      </c>
      <c r="I137" t="s">
        <v>77</v>
      </c>
      <c r="J137"/>
    </row>
    <row r="138" spans="2:10" x14ac:dyDescent="0.35">
      <c r="B138">
        <v>1448</v>
      </c>
      <c r="C138"/>
      <c r="D138" t="s">
        <v>810</v>
      </c>
      <c r="E138" t="s">
        <v>798</v>
      </c>
      <c r="F138" t="s">
        <v>809</v>
      </c>
      <c r="G138" t="s">
        <v>70</v>
      </c>
      <c r="H138" t="s">
        <v>70</v>
      </c>
      <c r="I138" t="s">
        <v>70</v>
      </c>
      <c r="J138"/>
    </row>
    <row r="139" spans="2:10" x14ac:dyDescent="0.35">
      <c r="B139">
        <v>1449</v>
      </c>
      <c r="C139"/>
      <c r="D139" t="s">
        <v>214</v>
      </c>
      <c r="E139" t="s">
        <v>72</v>
      </c>
      <c r="F139" t="s">
        <v>86</v>
      </c>
      <c r="G139" t="s">
        <v>85</v>
      </c>
      <c r="H139" t="s">
        <v>87</v>
      </c>
      <c r="I139" t="s">
        <v>77</v>
      </c>
      <c r="J139"/>
    </row>
    <row r="140" spans="2:10" x14ac:dyDescent="0.35">
      <c r="B140">
        <v>1453</v>
      </c>
      <c r="C140"/>
      <c r="D140" t="s">
        <v>827</v>
      </c>
      <c r="E140" t="s">
        <v>828</v>
      </c>
      <c r="F140" t="s">
        <v>329</v>
      </c>
      <c r="G140" t="s">
        <v>804</v>
      </c>
      <c r="H140" t="s">
        <v>330</v>
      </c>
      <c r="I140" t="s">
        <v>330</v>
      </c>
      <c r="J140"/>
    </row>
    <row r="141" spans="2:10" x14ac:dyDescent="0.35">
      <c r="B141">
        <v>1454</v>
      </c>
      <c r="C141"/>
      <c r="D141" t="s">
        <v>215</v>
      </c>
      <c r="E141" t="s">
        <v>67</v>
      </c>
      <c r="F141" t="s">
        <v>86</v>
      </c>
      <c r="G141" t="s">
        <v>172</v>
      </c>
      <c r="H141" t="s">
        <v>87</v>
      </c>
      <c r="I141" t="s">
        <v>77</v>
      </c>
      <c r="J141"/>
    </row>
    <row r="142" spans="2:10" x14ac:dyDescent="0.35">
      <c r="B142">
        <v>1457</v>
      </c>
      <c r="C142"/>
      <c r="D142" t="s">
        <v>216</v>
      </c>
      <c r="E142" t="s">
        <v>45</v>
      </c>
      <c r="F142" t="s">
        <v>54</v>
      </c>
      <c r="G142" t="s">
        <v>52</v>
      </c>
      <c r="H142" t="s">
        <v>55</v>
      </c>
      <c r="I142" t="s">
        <v>56</v>
      </c>
      <c r="J142"/>
    </row>
    <row r="143" spans="2:10" x14ac:dyDescent="0.35">
      <c r="B143">
        <v>1460</v>
      </c>
      <c r="C143"/>
      <c r="D143" t="s">
        <v>217</v>
      </c>
      <c r="E143" t="s">
        <v>72</v>
      </c>
      <c r="F143" t="s">
        <v>86</v>
      </c>
      <c r="G143" t="s">
        <v>85</v>
      </c>
      <c r="H143" t="s">
        <v>87</v>
      </c>
      <c r="I143" t="s">
        <v>77</v>
      </c>
      <c r="J143"/>
    </row>
    <row r="144" spans="2:10" x14ac:dyDescent="0.35">
      <c r="B144">
        <v>1463</v>
      </c>
      <c r="C144"/>
      <c r="D144" t="s">
        <v>218</v>
      </c>
      <c r="E144" t="s">
        <v>72</v>
      </c>
      <c r="F144" t="s">
        <v>86</v>
      </c>
      <c r="G144" t="s">
        <v>85</v>
      </c>
      <c r="H144" t="s">
        <v>87</v>
      </c>
      <c r="I144" t="s">
        <v>77</v>
      </c>
      <c r="J144"/>
    </row>
    <row r="145" spans="2:10" x14ac:dyDescent="0.35">
      <c r="B145">
        <v>1465</v>
      </c>
      <c r="C145"/>
      <c r="D145" t="s">
        <v>219</v>
      </c>
      <c r="E145" t="s">
        <v>72</v>
      </c>
      <c r="F145" t="s">
        <v>75</v>
      </c>
      <c r="G145" t="s">
        <v>79</v>
      </c>
      <c r="H145" t="s">
        <v>76</v>
      </c>
      <c r="I145" t="s">
        <v>56</v>
      </c>
      <c r="J145"/>
    </row>
    <row r="146" spans="2:10" x14ac:dyDescent="0.35">
      <c r="B146">
        <v>1466</v>
      </c>
      <c r="C146"/>
      <c r="D146" t="s">
        <v>220</v>
      </c>
      <c r="E146" t="s">
        <v>53</v>
      </c>
      <c r="F146" t="s">
        <v>128</v>
      </c>
      <c r="G146" t="s">
        <v>55</v>
      </c>
      <c r="H146" t="s">
        <v>55</v>
      </c>
      <c r="I146" t="s">
        <v>56</v>
      </c>
      <c r="J146"/>
    </row>
    <row r="147" spans="2:10" x14ac:dyDescent="0.35">
      <c r="B147">
        <v>1472</v>
      </c>
      <c r="C147"/>
      <c r="D147" t="s">
        <v>221</v>
      </c>
      <c r="E147" t="s">
        <v>49</v>
      </c>
      <c r="F147" t="s">
        <v>102</v>
      </c>
      <c r="G147" t="s">
        <v>784</v>
      </c>
      <c r="H147" t="s">
        <v>784</v>
      </c>
      <c r="I147" t="s">
        <v>47</v>
      </c>
      <c r="J147"/>
    </row>
    <row r="148" spans="2:10" x14ac:dyDescent="0.35">
      <c r="B148">
        <v>1477</v>
      </c>
      <c r="C148"/>
      <c r="D148" t="s">
        <v>222</v>
      </c>
      <c r="E148" t="s">
        <v>81</v>
      </c>
      <c r="F148" t="s">
        <v>149</v>
      </c>
      <c r="G148" t="s">
        <v>250</v>
      </c>
      <c r="H148" t="s">
        <v>87</v>
      </c>
      <c r="I148" t="s">
        <v>77</v>
      </c>
      <c r="J148"/>
    </row>
    <row r="149" spans="2:10" x14ac:dyDescent="0.35">
      <c r="B149">
        <v>1479</v>
      </c>
      <c r="C149"/>
      <c r="D149" t="s">
        <v>223</v>
      </c>
      <c r="E149" t="s">
        <v>74</v>
      </c>
      <c r="F149" t="s">
        <v>50</v>
      </c>
      <c r="G149" t="s">
        <v>51</v>
      </c>
      <c r="H149" t="s">
        <v>51</v>
      </c>
      <c r="I149" t="s">
        <v>51</v>
      </c>
      <c r="J149"/>
    </row>
    <row r="150" spans="2:10" x14ac:dyDescent="0.35">
      <c r="B150">
        <v>1480</v>
      </c>
      <c r="C150"/>
      <c r="D150" t="s">
        <v>829</v>
      </c>
      <c r="E150" t="s">
        <v>800</v>
      </c>
      <c r="F150" t="s">
        <v>204</v>
      </c>
      <c r="G150" t="s">
        <v>69</v>
      </c>
      <c r="H150" t="s">
        <v>69</v>
      </c>
      <c r="I150" t="s">
        <v>70</v>
      </c>
      <c r="J150"/>
    </row>
    <row r="151" spans="2:10" x14ac:dyDescent="0.35">
      <c r="B151">
        <v>1481</v>
      </c>
      <c r="C151"/>
      <c r="D151" t="s">
        <v>158</v>
      </c>
      <c r="E151" t="s">
        <v>798</v>
      </c>
      <c r="F151" t="s">
        <v>157</v>
      </c>
      <c r="G151" t="s">
        <v>98</v>
      </c>
      <c r="H151" t="s">
        <v>98</v>
      </c>
      <c r="I151" t="s">
        <v>98</v>
      </c>
      <c r="J151"/>
    </row>
    <row r="152" spans="2:10" x14ac:dyDescent="0.35">
      <c r="B152">
        <v>1487</v>
      </c>
      <c r="C152"/>
      <c r="D152" t="s">
        <v>224</v>
      </c>
      <c r="E152" t="s">
        <v>81</v>
      </c>
      <c r="F152" t="s">
        <v>225</v>
      </c>
      <c r="G152" t="s">
        <v>98</v>
      </c>
      <c r="H152" t="s">
        <v>98</v>
      </c>
      <c r="I152" t="s">
        <v>98</v>
      </c>
      <c r="J152"/>
    </row>
    <row r="153" spans="2:10" x14ac:dyDescent="0.35">
      <c r="B153">
        <v>1488</v>
      </c>
      <c r="C153"/>
      <c r="D153" t="s">
        <v>226</v>
      </c>
      <c r="E153" t="s">
        <v>45</v>
      </c>
      <c r="F153" t="s">
        <v>107</v>
      </c>
      <c r="G153" t="s">
        <v>108</v>
      </c>
      <c r="H153" t="s">
        <v>108</v>
      </c>
      <c r="I153" t="s">
        <v>98</v>
      </c>
      <c r="J153"/>
    </row>
    <row r="154" spans="2:10" x14ac:dyDescent="0.35">
      <c r="B154">
        <v>1489</v>
      </c>
      <c r="C154"/>
      <c r="D154" t="s">
        <v>227</v>
      </c>
      <c r="E154" t="s">
        <v>81</v>
      </c>
      <c r="F154" t="s">
        <v>132</v>
      </c>
      <c r="G154" t="s">
        <v>133</v>
      </c>
      <c r="H154" t="s">
        <v>133</v>
      </c>
      <c r="I154" t="s">
        <v>70</v>
      </c>
      <c r="J154"/>
    </row>
    <row r="155" spans="2:10" x14ac:dyDescent="0.35">
      <c r="B155">
        <v>1490</v>
      </c>
      <c r="C155"/>
      <c r="D155" t="s">
        <v>228</v>
      </c>
      <c r="E155" t="s">
        <v>81</v>
      </c>
      <c r="F155" t="s">
        <v>107</v>
      </c>
      <c r="G155" t="s">
        <v>108</v>
      </c>
      <c r="H155" t="s">
        <v>108</v>
      </c>
      <c r="I155" t="s">
        <v>98</v>
      </c>
      <c r="J155"/>
    </row>
    <row r="156" spans="2:10" x14ac:dyDescent="0.35">
      <c r="B156">
        <v>1491</v>
      </c>
      <c r="C156"/>
      <c r="D156" t="s">
        <v>830</v>
      </c>
      <c r="E156" t="s">
        <v>774</v>
      </c>
      <c r="F156" t="s">
        <v>248</v>
      </c>
      <c r="G156" t="s">
        <v>807</v>
      </c>
      <c r="H156" t="s">
        <v>249</v>
      </c>
      <c r="I156" t="s">
        <v>249</v>
      </c>
      <c r="J156"/>
    </row>
    <row r="157" spans="2:10" x14ac:dyDescent="0.35">
      <c r="B157">
        <v>1493</v>
      </c>
      <c r="C157"/>
      <c r="D157" t="s">
        <v>231</v>
      </c>
      <c r="E157" t="s">
        <v>45</v>
      </c>
      <c r="F157" t="s">
        <v>232</v>
      </c>
      <c r="G157" t="s">
        <v>233</v>
      </c>
      <c r="H157" t="s">
        <v>233</v>
      </c>
      <c r="I157" t="s">
        <v>112</v>
      </c>
      <c r="J157"/>
    </row>
    <row r="158" spans="2:10" x14ac:dyDescent="0.35">
      <c r="B158">
        <v>1495</v>
      </c>
      <c r="C158"/>
      <c r="D158" t="s">
        <v>234</v>
      </c>
      <c r="E158" t="s">
        <v>81</v>
      </c>
      <c r="F158"/>
      <c r="G158" t="s">
        <v>807</v>
      </c>
      <c r="H158" t="s">
        <v>238</v>
      </c>
      <c r="I158" t="s">
        <v>69</v>
      </c>
      <c r="J158"/>
    </row>
    <row r="159" spans="2:10" x14ac:dyDescent="0.35">
      <c r="B159">
        <v>1496</v>
      </c>
      <c r="C159"/>
      <c r="D159" t="s">
        <v>235</v>
      </c>
      <c r="E159" t="s">
        <v>45</v>
      </c>
      <c r="F159" t="s">
        <v>75</v>
      </c>
      <c r="G159" t="s">
        <v>266</v>
      </c>
      <c r="H159" t="s">
        <v>76</v>
      </c>
      <c r="I159" t="s">
        <v>56</v>
      </c>
      <c r="J159"/>
    </row>
    <row r="160" spans="2:10" x14ac:dyDescent="0.35">
      <c r="B160">
        <v>1500</v>
      </c>
      <c r="C160"/>
      <c r="D160" t="s">
        <v>236</v>
      </c>
      <c r="E160" t="s">
        <v>62</v>
      </c>
      <c r="F160"/>
      <c r="G160" t="s">
        <v>831</v>
      </c>
      <c r="H160" t="s">
        <v>832</v>
      </c>
      <c r="I160" t="s">
        <v>807</v>
      </c>
      <c r="J160"/>
    </row>
    <row r="161" spans="2:10" x14ac:dyDescent="0.35">
      <c r="B161">
        <v>1504</v>
      </c>
      <c r="C161"/>
      <c r="D161" t="s">
        <v>237</v>
      </c>
      <c r="E161" t="s">
        <v>65</v>
      </c>
      <c r="F161" t="s">
        <v>75</v>
      </c>
      <c r="G161" t="s">
        <v>266</v>
      </c>
      <c r="H161" t="s">
        <v>76</v>
      </c>
      <c r="I161" t="s">
        <v>56</v>
      </c>
      <c r="J161"/>
    </row>
    <row r="162" spans="2:10" x14ac:dyDescent="0.35">
      <c r="B162">
        <v>1506</v>
      </c>
      <c r="C162"/>
      <c r="D162" t="s">
        <v>238</v>
      </c>
      <c r="E162" t="s">
        <v>53</v>
      </c>
      <c r="F162" t="s">
        <v>83</v>
      </c>
      <c r="G162" t="s">
        <v>69</v>
      </c>
      <c r="H162" t="s">
        <v>69</v>
      </c>
      <c r="I162" t="s">
        <v>70</v>
      </c>
      <c r="J162"/>
    </row>
    <row r="163" spans="2:10" x14ac:dyDescent="0.35">
      <c r="B163">
        <v>1509</v>
      </c>
      <c r="C163"/>
      <c r="D163" t="s">
        <v>239</v>
      </c>
      <c r="E163" t="s">
        <v>72</v>
      </c>
      <c r="F163" t="s">
        <v>91</v>
      </c>
      <c r="G163" t="s">
        <v>343</v>
      </c>
      <c r="H163" t="s">
        <v>92</v>
      </c>
      <c r="I163" t="s">
        <v>77</v>
      </c>
      <c r="J163"/>
    </row>
    <row r="164" spans="2:10" x14ac:dyDescent="0.35">
      <c r="B164">
        <v>1510</v>
      </c>
      <c r="C164"/>
      <c r="D164" t="s">
        <v>240</v>
      </c>
      <c r="E164" t="s">
        <v>65</v>
      </c>
      <c r="F164" t="s">
        <v>91</v>
      </c>
      <c r="G164" t="s">
        <v>343</v>
      </c>
      <c r="H164" t="s">
        <v>92</v>
      </c>
      <c r="I164" t="s">
        <v>77</v>
      </c>
      <c r="J164"/>
    </row>
    <row r="165" spans="2:10" x14ac:dyDescent="0.35">
      <c r="B165">
        <v>1511</v>
      </c>
      <c r="C165"/>
      <c r="D165" t="s">
        <v>241</v>
      </c>
      <c r="E165" t="s">
        <v>72</v>
      </c>
      <c r="F165" t="s">
        <v>86</v>
      </c>
      <c r="G165" t="s">
        <v>172</v>
      </c>
      <c r="H165" t="s">
        <v>87</v>
      </c>
      <c r="I165" t="s">
        <v>77</v>
      </c>
      <c r="J165"/>
    </row>
    <row r="166" spans="2:10" x14ac:dyDescent="0.35">
      <c r="B166">
        <v>1517</v>
      </c>
      <c r="C166"/>
      <c r="D166" t="s">
        <v>242</v>
      </c>
      <c r="E166" t="s">
        <v>72</v>
      </c>
      <c r="F166" t="s">
        <v>91</v>
      </c>
      <c r="G166" t="s">
        <v>343</v>
      </c>
      <c r="H166" t="s">
        <v>92</v>
      </c>
      <c r="I166" t="s">
        <v>77</v>
      </c>
      <c r="J166"/>
    </row>
    <row r="167" spans="2:10" x14ac:dyDescent="0.35">
      <c r="B167">
        <v>1520</v>
      </c>
      <c r="C167"/>
      <c r="D167" t="s">
        <v>243</v>
      </c>
      <c r="E167" t="s">
        <v>81</v>
      </c>
      <c r="F167" t="s">
        <v>83</v>
      </c>
      <c r="G167" t="s">
        <v>69</v>
      </c>
      <c r="H167" t="s">
        <v>69</v>
      </c>
      <c r="I167" t="s">
        <v>70</v>
      </c>
      <c r="J167"/>
    </row>
    <row r="168" spans="2:10" x14ac:dyDescent="0.35">
      <c r="B168">
        <v>1521</v>
      </c>
      <c r="C168"/>
      <c r="D168" t="s">
        <v>244</v>
      </c>
      <c r="E168" t="s">
        <v>81</v>
      </c>
      <c r="F168" t="s">
        <v>119</v>
      </c>
      <c r="G168" t="s">
        <v>784</v>
      </c>
      <c r="H168" t="s">
        <v>784</v>
      </c>
      <c r="I168" t="s">
        <v>47</v>
      </c>
      <c r="J168"/>
    </row>
    <row r="169" spans="2:10" x14ac:dyDescent="0.35">
      <c r="B169">
        <v>1529</v>
      </c>
      <c r="C169"/>
      <c r="D169" t="s">
        <v>247</v>
      </c>
      <c r="E169" t="s">
        <v>74</v>
      </c>
      <c r="F169"/>
      <c r="G169" t="s">
        <v>807</v>
      </c>
      <c r="H169" t="s">
        <v>249</v>
      </c>
      <c r="I169" t="s">
        <v>249</v>
      </c>
      <c r="J169"/>
    </row>
    <row r="170" spans="2:10" x14ac:dyDescent="0.35">
      <c r="B170">
        <v>1532</v>
      </c>
      <c r="C170"/>
      <c r="D170" t="s">
        <v>250</v>
      </c>
      <c r="E170" t="s">
        <v>74</v>
      </c>
      <c r="F170" t="s">
        <v>149</v>
      </c>
      <c r="G170" t="s">
        <v>87</v>
      </c>
      <c r="H170" t="s">
        <v>87</v>
      </c>
      <c r="I170" t="s">
        <v>77</v>
      </c>
      <c r="J170"/>
    </row>
    <row r="171" spans="2:10" x14ac:dyDescent="0.35">
      <c r="B171">
        <v>1534</v>
      </c>
      <c r="C171"/>
      <c r="D171" t="s">
        <v>251</v>
      </c>
      <c r="E171" t="s">
        <v>81</v>
      </c>
      <c r="F171" t="s">
        <v>110</v>
      </c>
      <c r="G171" t="s">
        <v>111</v>
      </c>
      <c r="H171" t="s">
        <v>111</v>
      </c>
      <c r="I171" t="s">
        <v>112</v>
      </c>
      <c r="J171"/>
    </row>
    <row r="172" spans="2:10" x14ac:dyDescent="0.35">
      <c r="B172">
        <v>1535</v>
      </c>
      <c r="C172"/>
      <c r="D172" t="s">
        <v>252</v>
      </c>
      <c r="E172" t="s">
        <v>72</v>
      </c>
      <c r="F172" t="s">
        <v>86</v>
      </c>
      <c r="G172" t="s">
        <v>172</v>
      </c>
      <c r="H172" t="s">
        <v>87</v>
      </c>
      <c r="I172" t="s">
        <v>77</v>
      </c>
      <c r="J172"/>
    </row>
    <row r="173" spans="2:10" x14ac:dyDescent="0.35">
      <c r="B173">
        <v>1537</v>
      </c>
      <c r="C173"/>
      <c r="D173" t="s">
        <v>87</v>
      </c>
      <c r="E173" t="s">
        <v>798</v>
      </c>
      <c r="F173" t="s">
        <v>149</v>
      </c>
      <c r="G173" t="s">
        <v>77</v>
      </c>
      <c r="H173" t="s">
        <v>77</v>
      </c>
      <c r="I173" t="s">
        <v>77</v>
      </c>
      <c r="J173"/>
    </row>
    <row r="174" spans="2:10" x14ac:dyDescent="0.35">
      <c r="B174">
        <v>1540</v>
      </c>
      <c r="C174"/>
      <c r="D174" t="s">
        <v>253</v>
      </c>
      <c r="E174" t="s">
        <v>81</v>
      </c>
      <c r="F174"/>
      <c r="G174" t="s">
        <v>807</v>
      </c>
      <c r="H174" t="s">
        <v>183</v>
      </c>
      <c r="I174" t="s">
        <v>183</v>
      </c>
      <c r="J174"/>
    </row>
    <row r="175" spans="2:10" x14ac:dyDescent="0.35">
      <c r="B175">
        <v>1541</v>
      </c>
      <c r="C175"/>
      <c r="D175" t="s">
        <v>254</v>
      </c>
      <c r="E175" t="s">
        <v>45</v>
      </c>
      <c r="F175" t="s">
        <v>54</v>
      </c>
      <c r="G175" t="s">
        <v>52</v>
      </c>
      <c r="H175" t="s">
        <v>55</v>
      </c>
      <c r="I175" t="s">
        <v>56</v>
      </c>
      <c r="J175"/>
    </row>
    <row r="176" spans="2:10" x14ac:dyDescent="0.35">
      <c r="B176">
        <v>1544</v>
      </c>
      <c r="C176"/>
      <c r="D176" t="s">
        <v>255</v>
      </c>
      <c r="E176" t="s">
        <v>81</v>
      </c>
      <c r="F176" t="s">
        <v>125</v>
      </c>
      <c r="G176" t="s">
        <v>126</v>
      </c>
      <c r="H176" t="s">
        <v>126</v>
      </c>
      <c r="I176" t="s">
        <v>56</v>
      </c>
      <c r="J176"/>
    </row>
    <row r="177" spans="2:10" x14ac:dyDescent="0.35">
      <c r="B177">
        <v>1545</v>
      </c>
      <c r="C177"/>
      <c r="D177" t="s">
        <v>256</v>
      </c>
      <c r="E177" t="s">
        <v>74</v>
      </c>
      <c r="F177" t="s">
        <v>206</v>
      </c>
      <c r="G177" t="s">
        <v>97</v>
      </c>
      <c r="H177" t="s">
        <v>97</v>
      </c>
      <c r="I177" t="s">
        <v>98</v>
      </c>
      <c r="J177"/>
    </row>
    <row r="178" spans="2:10" x14ac:dyDescent="0.35">
      <c r="B178">
        <v>1547</v>
      </c>
      <c r="C178"/>
      <c r="D178" t="s">
        <v>833</v>
      </c>
      <c r="E178" t="s">
        <v>774</v>
      </c>
      <c r="F178" t="s">
        <v>355</v>
      </c>
      <c r="G178" t="s">
        <v>804</v>
      </c>
      <c r="H178" t="s">
        <v>92</v>
      </c>
      <c r="I178" t="s">
        <v>92</v>
      </c>
      <c r="J178"/>
    </row>
    <row r="179" spans="2:10" x14ac:dyDescent="0.35">
      <c r="B179">
        <v>1548</v>
      </c>
      <c r="C179"/>
      <c r="D179" t="s">
        <v>834</v>
      </c>
      <c r="E179" t="s">
        <v>828</v>
      </c>
      <c r="F179" t="s">
        <v>232</v>
      </c>
      <c r="G179" t="s">
        <v>804</v>
      </c>
      <c r="H179" t="s">
        <v>233</v>
      </c>
      <c r="I179" t="s">
        <v>233</v>
      </c>
      <c r="J179"/>
    </row>
    <row r="180" spans="2:10" x14ac:dyDescent="0.35">
      <c r="B180">
        <v>1551</v>
      </c>
      <c r="C180"/>
      <c r="D180" t="s">
        <v>257</v>
      </c>
      <c r="E180" t="s">
        <v>74</v>
      </c>
      <c r="F180"/>
      <c r="G180" t="s">
        <v>831</v>
      </c>
      <c r="H180" t="s">
        <v>832</v>
      </c>
      <c r="I180" t="s">
        <v>807</v>
      </c>
      <c r="J180"/>
    </row>
    <row r="181" spans="2:10" x14ac:dyDescent="0.35">
      <c r="B181">
        <v>1553</v>
      </c>
      <c r="C181"/>
      <c r="D181" t="s">
        <v>785</v>
      </c>
      <c r="E181" t="s">
        <v>774</v>
      </c>
      <c r="F181"/>
      <c r="G181" t="s">
        <v>835</v>
      </c>
      <c r="H181" t="s">
        <v>807</v>
      </c>
      <c r="I181" t="s">
        <v>249</v>
      </c>
      <c r="J181"/>
    </row>
    <row r="182" spans="2:10" x14ac:dyDescent="0.35">
      <c r="B182">
        <v>1559</v>
      </c>
      <c r="C182"/>
      <c r="D182" t="s">
        <v>836</v>
      </c>
      <c r="E182" t="s">
        <v>774</v>
      </c>
      <c r="F182" t="s">
        <v>812</v>
      </c>
      <c r="G182" t="s">
        <v>807</v>
      </c>
      <c r="H182" t="s">
        <v>811</v>
      </c>
      <c r="I182" t="s">
        <v>811</v>
      </c>
      <c r="J182"/>
    </row>
    <row r="183" spans="2:10" x14ac:dyDescent="0.35">
      <c r="B183">
        <v>1560</v>
      </c>
      <c r="C183"/>
      <c r="D183" t="s">
        <v>258</v>
      </c>
      <c r="E183" t="s">
        <v>45</v>
      </c>
      <c r="F183"/>
      <c r="G183" t="s">
        <v>807</v>
      </c>
      <c r="H183" t="s">
        <v>230</v>
      </c>
      <c r="I183" t="s">
        <v>230</v>
      </c>
      <c r="J183"/>
    </row>
    <row r="184" spans="2:10" x14ac:dyDescent="0.35">
      <c r="B184">
        <v>1563</v>
      </c>
      <c r="C184"/>
      <c r="D184" t="s">
        <v>259</v>
      </c>
      <c r="E184" t="s">
        <v>72</v>
      </c>
      <c r="F184" t="s">
        <v>75</v>
      </c>
      <c r="G184" t="s">
        <v>266</v>
      </c>
      <c r="H184" t="s">
        <v>76</v>
      </c>
      <c r="I184" t="s">
        <v>56</v>
      </c>
      <c r="J184"/>
    </row>
    <row r="185" spans="2:10" x14ac:dyDescent="0.35">
      <c r="B185">
        <v>1566</v>
      </c>
      <c r="C185"/>
      <c r="D185" t="s">
        <v>260</v>
      </c>
      <c r="E185" t="s">
        <v>81</v>
      </c>
      <c r="F185" t="s">
        <v>125</v>
      </c>
      <c r="G185" t="s">
        <v>126</v>
      </c>
      <c r="H185" t="s">
        <v>126</v>
      </c>
      <c r="I185" t="s">
        <v>56</v>
      </c>
      <c r="J185"/>
    </row>
    <row r="186" spans="2:10" x14ac:dyDescent="0.35">
      <c r="B186">
        <v>1575</v>
      </c>
      <c r="C186"/>
      <c r="D186" t="s">
        <v>261</v>
      </c>
      <c r="E186" t="s">
        <v>72</v>
      </c>
      <c r="F186" t="s">
        <v>91</v>
      </c>
      <c r="G186" t="s">
        <v>343</v>
      </c>
      <c r="H186" t="s">
        <v>92</v>
      </c>
      <c r="I186" t="s">
        <v>77</v>
      </c>
      <c r="J186"/>
    </row>
    <row r="187" spans="2:10" x14ac:dyDescent="0.35">
      <c r="B187">
        <v>1577</v>
      </c>
      <c r="C187"/>
      <c r="D187" t="s">
        <v>262</v>
      </c>
      <c r="E187" t="s">
        <v>81</v>
      </c>
      <c r="F187" t="s">
        <v>263</v>
      </c>
      <c r="G187" t="s">
        <v>264</v>
      </c>
      <c r="H187" t="s">
        <v>264</v>
      </c>
      <c r="I187" t="s">
        <v>51</v>
      </c>
      <c r="J187"/>
    </row>
    <row r="188" spans="2:10" x14ac:dyDescent="0.35">
      <c r="B188">
        <v>1578</v>
      </c>
      <c r="C188"/>
      <c r="D188" t="s">
        <v>265</v>
      </c>
      <c r="E188" t="s">
        <v>95</v>
      </c>
      <c r="F188" t="s">
        <v>128</v>
      </c>
      <c r="G188" t="s">
        <v>220</v>
      </c>
      <c r="H188" t="s">
        <v>55</v>
      </c>
      <c r="I188" t="s">
        <v>56</v>
      </c>
      <c r="J188"/>
    </row>
    <row r="189" spans="2:10" x14ac:dyDescent="0.35">
      <c r="B189">
        <v>1580</v>
      </c>
      <c r="C189"/>
      <c r="D189" t="s">
        <v>266</v>
      </c>
      <c r="E189" t="s">
        <v>74</v>
      </c>
      <c r="F189" t="s">
        <v>75</v>
      </c>
      <c r="G189" t="s">
        <v>76</v>
      </c>
      <c r="H189" t="s">
        <v>76</v>
      </c>
      <c r="I189" t="s">
        <v>56</v>
      </c>
      <c r="J189"/>
    </row>
    <row r="190" spans="2:10" x14ac:dyDescent="0.35">
      <c r="B190">
        <v>1582</v>
      </c>
      <c r="C190"/>
      <c r="D190" t="s">
        <v>267</v>
      </c>
      <c r="E190" t="s">
        <v>72</v>
      </c>
      <c r="F190" t="s">
        <v>86</v>
      </c>
      <c r="G190" t="s">
        <v>85</v>
      </c>
      <c r="H190" t="s">
        <v>87</v>
      </c>
      <c r="I190" t="s">
        <v>77</v>
      </c>
      <c r="J190"/>
    </row>
    <row r="191" spans="2:10" x14ac:dyDescent="0.35">
      <c r="B191">
        <v>1584</v>
      </c>
      <c r="C191"/>
      <c r="D191" t="s">
        <v>268</v>
      </c>
      <c r="E191" t="s">
        <v>65</v>
      </c>
      <c r="F191" t="s">
        <v>91</v>
      </c>
      <c r="G191" t="s">
        <v>343</v>
      </c>
      <c r="H191" t="s">
        <v>92</v>
      </c>
      <c r="I191" t="s">
        <v>77</v>
      </c>
      <c r="J191"/>
    </row>
    <row r="192" spans="2:10" x14ac:dyDescent="0.35">
      <c r="B192">
        <v>1589</v>
      </c>
      <c r="C192"/>
      <c r="D192" t="s">
        <v>277</v>
      </c>
      <c r="E192" t="s">
        <v>798</v>
      </c>
      <c r="F192" t="s">
        <v>276</v>
      </c>
      <c r="G192" t="s">
        <v>55</v>
      </c>
      <c r="H192" t="s">
        <v>55</v>
      </c>
      <c r="I192" t="s">
        <v>56</v>
      </c>
      <c r="J192"/>
    </row>
    <row r="193" spans="2:10" x14ac:dyDescent="0.35">
      <c r="B193">
        <v>1592</v>
      </c>
      <c r="C193"/>
      <c r="D193" t="s">
        <v>269</v>
      </c>
      <c r="E193" t="s">
        <v>81</v>
      </c>
      <c r="F193"/>
      <c r="G193" t="s">
        <v>837</v>
      </c>
      <c r="H193" t="s">
        <v>771</v>
      </c>
      <c r="I193" t="s">
        <v>771</v>
      </c>
      <c r="J193"/>
    </row>
    <row r="194" spans="2:10" x14ac:dyDescent="0.35">
      <c r="B194">
        <v>1597</v>
      </c>
      <c r="C194"/>
      <c r="D194" t="s">
        <v>271</v>
      </c>
      <c r="E194" t="s">
        <v>53</v>
      </c>
      <c r="F194" t="s">
        <v>188</v>
      </c>
      <c r="G194" t="s">
        <v>112</v>
      </c>
      <c r="H194" t="s">
        <v>112</v>
      </c>
      <c r="I194" t="s">
        <v>112</v>
      </c>
      <c r="J194"/>
    </row>
    <row r="195" spans="2:10" x14ac:dyDescent="0.35">
      <c r="B195">
        <v>1599</v>
      </c>
      <c r="C195"/>
      <c r="D195" t="s">
        <v>272</v>
      </c>
      <c r="E195" t="s">
        <v>145</v>
      </c>
      <c r="F195" t="s">
        <v>75</v>
      </c>
      <c r="G195" t="s">
        <v>266</v>
      </c>
      <c r="H195" t="s">
        <v>76</v>
      </c>
      <c r="I195" t="s">
        <v>56</v>
      </c>
      <c r="J195"/>
    </row>
    <row r="196" spans="2:10" x14ac:dyDescent="0.35">
      <c r="B196">
        <v>1604</v>
      </c>
      <c r="C196"/>
      <c r="D196" t="s">
        <v>273</v>
      </c>
      <c r="E196" t="s">
        <v>72</v>
      </c>
      <c r="F196" t="s">
        <v>86</v>
      </c>
      <c r="G196" t="s">
        <v>172</v>
      </c>
      <c r="H196" t="s">
        <v>87</v>
      </c>
      <c r="I196" t="s">
        <v>77</v>
      </c>
      <c r="J196"/>
    </row>
    <row r="197" spans="2:10" x14ac:dyDescent="0.35">
      <c r="B197">
        <v>1606</v>
      </c>
      <c r="C197"/>
      <c r="D197" t="s">
        <v>274</v>
      </c>
      <c r="E197" t="s">
        <v>81</v>
      </c>
      <c r="F197"/>
      <c r="G197" t="s">
        <v>807</v>
      </c>
      <c r="H197" t="s">
        <v>158</v>
      </c>
      <c r="I197" t="s">
        <v>158</v>
      </c>
      <c r="J197"/>
    </row>
    <row r="198" spans="2:10" x14ac:dyDescent="0.35">
      <c r="B198">
        <v>1607</v>
      </c>
      <c r="C198"/>
      <c r="D198" t="s">
        <v>92</v>
      </c>
      <c r="E198" t="s">
        <v>802</v>
      </c>
      <c r="F198" t="s">
        <v>355</v>
      </c>
      <c r="G198" t="s">
        <v>77</v>
      </c>
      <c r="H198" t="s">
        <v>77</v>
      </c>
      <c r="I198" t="s">
        <v>77</v>
      </c>
      <c r="J198"/>
    </row>
    <row r="199" spans="2:10" x14ac:dyDescent="0.35">
      <c r="B199">
        <v>1609</v>
      </c>
      <c r="C199"/>
      <c r="D199" t="s">
        <v>275</v>
      </c>
      <c r="E199" t="s">
        <v>45</v>
      </c>
      <c r="F199" t="s">
        <v>276</v>
      </c>
      <c r="G199" t="s">
        <v>277</v>
      </c>
      <c r="H199" t="s">
        <v>277</v>
      </c>
      <c r="I199" t="s">
        <v>56</v>
      </c>
      <c r="J199"/>
    </row>
    <row r="200" spans="2:10" x14ac:dyDescent="0.35">
      <c r="B200">
        <v>1612</v>
      </c>
      <c r="C200"/>
      <c r="D200" t="s">
        <v>278</v>
      </c>
      <c r="E200" t="s">
        <v>81</v>
      </c>
      <c r="F200" t="s">
        <v>83</v>
      </c>
      <c r="G200" t="s">
        <v>69</v>
      </c>
      <c r="H200" t="s">
        <v>69</v>
      </c>
      <c r="I200" t="s">
        <v>70</v>
      </c>
      <c r="J200"/>
    </row>
    <row r="201" spans="2:10" x14ac:dyDescent="0.35">
      <c r="B201">
        <v>1613</v>
      </c>
      <c r="C201"/>
      <c r="D201" t="s">
        <v>279</v>
      </c>
      <c r="E201" t="s">
        <v>81</v>
      </c>
      <c r="F201" t="s">
        <v>138</v>
      </c>
      <c r="G201" t="s">
        <v>139</v>
      </c>
      <c r="H201" t="s">
        <v>139</v>
      </c>
      <c r="I201" t="s">
        <v>112</v>
      </c>
      <c r="J201"/>
    </row>
    <row r="202" spans="2:10" x14ac:dyDescent="0.35">
      <c r="B202">
        <v>1615</v>
      </c>
      <c r="C202"/>
      <c r="D202" t="s">
        <v>280</v>
      </c>
      <c r="E202" t="s">
        <v>72</v>
      </c>
      <c r="F202" t="s">
        <v>167</v>
      </c>
      <c r="G202" t="s">
        <v>168</v>
      </c>
      <c r="H202" t="s">
        <v>168</v>
      </c>
      <c r="I202" t="s">
        <v>56</v>
      </c>
      <c r="J202"/>
    </row>
    <row r="203" spans="2:10" x14ac:dyDescent="0.35">
      <c r="B203">
        <v>1620</v>
      </c>
      <c r="C203"/>
      <c r="D203" t="s">
        <v>281</v>
      </c>
      <c r="E203" t="s">
        <v>81</v>
      </c>
      <c r="F203" t="s">
        <v>132</v>
      </c>
      <c r="G203" t="s">
        <v>133</v>
      </c>
      <c r="H203" t="s">
        <v>133</v>
      </c>
      <c r="I203" t="s">
        <v>70</v>
      </c>
      <c r="J203"/>
    </row>
    <row r="204" spans="2:10" x14ac:dyDescent="0.35">
      <c r="B204">
        <v>1621</v>
      </c>
      <c r="C204"/>
      <c r="D204" t="s">
        <v>70</v>
      </c>
      <c r="E204" t="s">
        <v>838</v>
      </c>
      <c r="F204" t="s">
        <v>107</v>
      </c>
      <c r="G204" t="s">
        <v>77</v>
      </c>
      <c r="H204" t="s">
        <v>77</v>
      </c>
      <c r="I204" t="s">
        <v>77</v>
      </c>
      <c r="J204"/>
    </row>
    <row r="205" spans="2:10" x14ac:dyDescent="0.35">
      <c r="B205">
        <v>1622</v>
      </c>
      <c r="C205"/>
      <c r="D205" t="s">
        <v>282</v>
      </c>
      <c r="E205" t="s">
        <v>81</v>
      </c>
      <c r="F205" t="s">
        <v>125</v>
      </c>
      <c r="G205" t="s">
        <v>126</v>
      </c>
      <c r="H205" t="s">
        <v>126</v>
      </c>
      <c r="I205" t="s">
        <v>56</v>
      </c>
      <c r="J205"/>
    </row>
    <row r="206" spans="2:10" x14ac:dyDescent="0.35">
      <c r="B206">
        <v>1623</v>
      </c>
      <c r="C206"/>
      <c r="D206" t="s">
        <v>249</v>
      </c>
      <c r="E206" t="s">
        <v>798</v>
      </c>
      <c r="F206" t="s">
        <v>248</v>
      </c>
      <c r="G206" t="s">
        <v>70</v>
      </c>
      <c r="H206" t="s">
        <v>70</v>
      </c>
      <c r="I206" t="s">
        <v>70</v>
      </c>
      <c r="J206"/>
    </row>
    <row r="207" spans="2:10" x14ac:dyDescent="0.35">
      <c r="B207">
        <v>1624</v>
      </c>
      <c r="C207"/>
      <c r="D207" t="s">
        <v>839</v>
      </c>
      <c r="E207" t="s">
        <v>774</v>
      </c>
      <c r="F207"/>
      <c r="G207" t="s">
        <v>840</v>
      </c>
      <c r="H207" t="s">
        <v>807</v>
      </c>
      <c r="I207" t="s">
        <v>249</v>
      </c>
      <c r="J207"/>
    </row>
    <row r="208" spans="2:10" x14ac:dyDescent="0.35">
      <c r="B208">
        <v>1626</v>
      </c>
      <c r="C208"/>
      <c r="D208" t="s">
        <v>283</v>
      </c>
      <c r="E208" t="s">
        <v>81</v>
      </c>
      <c r="F208" t="s">
        <v>157</v>
      </c>
      <c r="G208" t="s">
        <v>158</v>
      </c>
      <c r="H208" t="s">
        <v>158</v>
      </c>
      <c r="I208" t="s">
        <v>98</v>
      </c>
      <c r="J208"/>
    </row>
    <row r="209" spans="2:10" x14ac:dyDescent="0.35">
      <c r="B209">
        <v>1627</v>
      </c>
      <c r="C209"/>
      <c r="D209" t="s">
        <v>284</v>
      </c>
      <c r="E209" t="s">
        <v>145</v>
      </c>
      <c r="F209" t="s">
        <v>68</v>
      </c>
      <c r="G209" t="s">
        <v>78</v>
      </c>
      <c r="H209" t="s">
        <v>69</v>
      </c>
      <c r="I209" t="s">
        <v>70</v>
      </c>
      <c r="J209"/>
    </row>
    <row r="210" spans="2:10" x14ac:dyDescent="0.35">
      <c r="B210">
        <v>1629</v>
      </c>
      <c r="C210"/>
      <c r="D210" t="s">
        <v>285</v>
      </c>
      <c r="E210" t="s">
        <v>72</v>
      </c>
      <c r="F210" t="s">
        <v>86</v>
      </c>
      <c r="G210" t="s">
        <v>85</v>
      </c>
      <c r="H210" t="s">
        <v>87</v>
      </c>
      <c r="I210" t="s">
        <v>77</v>
      </c>
      <c r="J210"/>
    </row>
    <row r="211" spans="2:10" x14ac:dyDescent="0.35">
      <c r="B211">
        <v>1630</v>
      </c>
      <c r="C211"/>
      <c r="D211" t="s">
        <v>286</v>
      </c>
      <c r="E211" t="s">
        <v>62</v>
      </c>
      <c r="F211" t="s">
        <v>229</v>
      </c>
      <c r="G211" t="s">
        <v>230</v>
      </c>
      <c r="H211" t="s">
        <v>230</v>
      </c>
      <c r="I211" t="s">
        <v>70</v>
      </c>
      <c r="J211"/>
    </row>
    <row r="212" spans="2:10" x14ac:dyDescent="0.35">
      <c r="B212">
        <v>1631</v>
      </c>
      <c r="C212"/>
      <c r="D212" t="s">
        <v>287</v>
      </c>
      <c r="E212" t="s">
        <v>72</v>
      </c>
      <c r="F212" t="s">
        <v>86</v>
      </c>
      <c r="G212" t="s">
        <v>170</v>
      </c>
      <c r="H212" t="s">
        <v>87</v>
      </c>
      <c r="I212" t="s">
        <v>77</v>
      </c>
      <c r="J212"/>
    </row>
    <row r="213" spans="2:10" x14ac:dyDescent="0.35">
      <c r="B213">
        <v>1633</v>
      </c>
      <c r="C213"/>
      <c r="D213" t="s">
        <v>288</v>
      </c>
      <c r="E213" t="s">
        <v>49</v>
      </c>
      <c r="F213" t="s">
        <v>128</v>
      </c>
      <c r="G213" t="s">
        <v>220</v>
      </c>
      <c r="H213" t="s">
        <v>55</v>
      </c>
      <c r="I213" t="s">
        <v>56</v>
      </c>
      <c r="J213"/>
    </row>
    <row r="214" spans="2:10" x14ac:dyDescent="0.35">
      <c r="B214">
        <v>1635</v>
      </c>
      <c r="C214"/>
      <c r="D214" t="s">
        <v>841</v>
      </c>
      <c r="E214" t="s">
        <v>774</v>
      </c>
      <c r="F214" t="s">
        <v>355</v>
      </c>
      <c r="G214" t="s">
        <v>804</v>
      </c>
      <c r="H214" t="s">
        <v>92</v>
      </c>
      <c r="I214" t="s">
        <v>92</v>
      </c>
      <c r="J214"/>
    </row>
    <row r="215" spans="2:10" x14ac:dyDescent="0.35">
      <c r="B215">
        <v>1636</v>
      </c>
      <c r="C215"/>
      <c r="D215" t="s">
        <v>289</v>
      </c>
      <c r="E215" t="s">
        <v>145</v>
      </c>
      <c r="F215" t="s">
        <v>75</v>
      </c>
      <c r="G215" t="s">
        <v>76</v>
      </c>
      <c r="H215" t="s">
        <v>76</v>
      </c>
      <c r="I215" t="s">
        <v>56</v>
      </c>
      <c r="J215"/>
    </row>
    <row r="216" spans="2:10" x14ac:dyDescent="0.35">
      <c r="B216">
        <v>1639</v>
      </c>
      <c r="C216"/>
      <c r="D216" t="s">
        <v>290</v>
      </c>
      <c r="E216" t="s">
        <v>81</v>
      </c>
      <c r="F216" t="s">
        <v>83</v>
      </c>
      <c r="G216" t="s">
        <v>69</v>
      </c>
      <c r="H216" t="s">
        <v>69</v>
      </c>
      <c r="I216" t="s">
        <v>70</v>
      </c>
      <c r="J216"/>
    </row>
    <row r="217" spans="2:10" x14ac:dyDescent="0.35">
      <c r="B217">
        <v>1643</v>
      </c>
      <c r="C217"/>
      <c r="D217" t="s">
        <v>56</v>
      </c>
      <c r="E217" t="s">
        <v>821</v>
      </c>
      <c r="F217" t="s">
        <v>54</v>
      </c>
      <c r="G217" t="s">
        <v>77</v>
      </c>
      <c r="H217" t="s">
        <v>77</v>
      </c>
      <c r="I217" t="s">
        <v>77</v>
      </c>
      <c r="J217"/>
    </row>
    <row r="218" spans="2:10" x14ac:dyDescent="0.35">
      <c r="B218">
        <v>1644</v>
      </c>
      <c r="C218"/>
      <c r="D218" t="s">
        <v>291</v>
      </c>
      <c r="E218" t="s">
        <v>62</v>
      </c>
      <c r="F218" t="s">
        <v>107</v>
      </c>
      <c r="G218" t="s">
        <v>108</v>
      </c>
      <c r="H218" t="s">
        <v>108</v>
      </c>
      <c r="I218" t="s">
        <v>98</v>
      </c>
      <c r="J218"/>
    </row>
    <row r="219" spans="2:10" x14ac:dyDescent="0.35">
      <c r="B219">
        <v>1645</v>
      </c>
      <c r="C219"/>
      <c r="D219" t="s">
        <v>842</v>
      </c>
      <c r="E219" t="s">
        <v>774</v>
      </c>
      <c r="F219" t="s">
        <v>151</v>
      </c>
      <c r="G219" t="s">
        <v>807</v>
      </c>
      <c r="H219" t="s">
        <v>152</v>
      </c>
      <c r="I219" t="s">
        <v>152</v>
      </c>
      <c r="J219"/>
    </row>
    <row r="220" spans="2:10" x14ac:dyDescent="0.35">
      <c r="B220">
        <v>1646</v>
      </c>
      <c r="C220"/>
      <c r="D220" t="s">
        <v>843</v>
      </c>
      <c r="E220" t="s">
        <v>774</v>
      </c>
      <c r="F220" t="s">
        <v>844</v>
      </c>
      <c r="G220" t="s">
        <v>845</v>
      </c>
      <c r="H220" t="s">
        <v>832</v>
      </c>
      <c r="I220" t="s">
        <v>807</v>
      </c>
      <c r="J220"/>
    </row>
    <row r="221" spans="2:10" x14ac:dyDescent="0.35">
      <c r="B221">
        <v>1648</v>
      </c>
      <c r="C221"/>
      <c r="D221" t="s">
        <v>292</v>
      </c>
      <c r="E221" t="s">
        <v>74</v>
      </c>
      <c r="F221" t="s">
        <v>102</v>
      </c>
      <c r="G221" t="s">
        <v>784</v>
      </c>
      <c r="H221" t="s">
        <v>784</v>
      </c>
      <c r="I221" t="s">
        <v>47</v>
      </c>
      <c r="J221"/>
    </row>
    <row r="222" spans="2:10" x14ac:dyDescent="0.35">
      <c r="B222">
        <v>1649</v>
      </c>
      <c r="C222"/>
      <c r="D222" t="s">
        <v>47</v>
      </c>
      <c r="E222" t="s">
        <v>846</v>
      </c>
      <c r="F222"/>
      <c r="G222" t="s">
        <v>46</v>
      </c>
      <c r="H222" t="s">
        <v>847</v>
      </c>
      <c r="I222" t="s">
        <v>848</v>
      </c>
      <c r="J222"/>
    </row>
    <row r="223" spans="2:10" x14ac:dyDescent="0.35">
      <c r="B223">
        <v>1650</v>
      </c>
      <c r="C223"/>
      <c r="D223" t="s">
        <v>293</v>
      </c>
      <c r="E223" t="s">
        <v>74</v>
      </c>
      <c r="F223" t="s">
        <v>198</v>
      </c>
      <c r="G223" t="s">
        <v>199</v>
      </c>
      <c r="H223" t="s">
        <v>199</v>
      </c>
      <c r="I223" t="s">
        <v>51</v>
      </c>
      <c r="J223"/>
    </row>
    <row r="224" spans="2:10" x14ac:dyDescent="0.35">
      <c r="B224">
        <v>1651</v>
      </c>
      <c r="C224"/>
      <c r="D224" t="s">
        <v>294</v>
      </c>
      <c r="E224" t="s">
        <v>81</v>
      </c>
      <c r="F224" t="s">
        <v>110</v>
      </c>
      <c r="G224" t="s">
        <v>111</v>
      </c>
      <c r="H224" t="s">
        <v>111</v>
      </c>
      <c r="I224" t="s">
        <v>112</v>
      </c>
      <c r="J224"/>
    </row>
    <row r="225" spans="2:10" x14ac:dyDescent="0.35">
      <c r="B225">
        <v>1652</v>
      </c>
      <c r="C225"/>
      <c r="D225" t="s">
        <v>295</v>
      </c>
      <c r="E225" t="s">
        <v>45</v>
      </c>
      <c r="F225" t="s">
        <v>46</v>
      </c>
      <c r="G225" t="s">
        <v>37</v>
      </c>
      <c r="H225" t="s">
        <v>37</v>
      </c>
      <c r="I225" t="s">
        <v>47</v>
      </c>
      <c r="J225"/>
    </row>
    <row r="226" spans="2:10" x14ac:dyDescent="0.35">
      <c r="B226">
        <v>1653</v>
      </c>
      <c r="C226"/>
      <c r="D226" t="s">
        <v>786</v>
      </c>
      <c r="E226" t="s">
        <v>81</v>
      </c>
      <c r="F226" t="s">
        <v>276</v>
      </c>
      <c r="G226" t="s">
        <v>277</v>
      </c>
      <c r="H226" t="s">
        <v>277</v>
      </c>
      <c r="I226" t="s">
        <v>56</v>
      </c>
      <c r="J226"/>
    </row>
    <row r="227" spans="2:10" x14ac:dyDescent="0.35">
      <c r="B227">
        <v>1654</v>
      </c>
      <c r="C227"/>
      <c r="D227" t="s">
        <v>296</v>
      </c>
      <c r="E227" t="s">
        <v>45</v>
      </c>
      <c r="F227"/>
      <c r="G227" t="s">
        <v>849</v>
      </c>
      <c r="H227" t="s">
        <v>832</v>
      </c>
      <c r="I227" t="s">
        <v>807</v>
      </c>
      <c r="J227"/>
    </row>
    <row r="228" spans="2:10" x14ac:dyDescent="0.35">
      <c r="B228">
        <v>1655</v>
      </c>
      <c r="C228"/>
      <c r="D228" t="s">
        <v>312</v>
      </c>
      <c r="E228" t="s">
        <v>798</v>
      </c>
      <c r="F228" t="s">
        <v>311</v>
      </c>
      <c r="G228" t="s">
        <v>47</v>
      </c>
      <c r="H228" t="s">
        <v>47</v>
      </c>
      <c r="I228" t="s">
        <v>47</v>
      </c>
      <c r="J228"/>
    </row>
    <row r="229" spans="2:10" x14ac:dyDescent="0.35">
      <c r="B229">
        <v>1661</v>
      </c>
      <c r="C229"/>
      <c r="D229" t="s">
        <v>297</v>
      </c>
      <c r="E229" t="s">
        <v>81</v>
      </c>
      <c r="F229" t="s">
        <v>46</v>
      </c>
      <c r="G229" t="s">
        <v>37</v>
      </c>
      <c r="H229" t="s">
        <v>37</v>
      </c>
      <c r="I229" t="s">
        <v>47</v>
      </c>
      <c r="J229"/>
    </row>
    <row r="230" spans="2:10" x14ac:dyDescent="0.35">
      <c r="B230">
        <v>1663</v>
      </c>
      <c r="C230"/>
      <c r="D230" t="s">
        <v>850</v>
      </c>
      <c r="E230" t="s">
        <v>774</v>
      </c>
      <c r="F230" t="s">
        <v>232</v>
      </c>
      <c r="G230" t="s">
        <v>804</v>
      </c>
      <c r="H230" t="s">
        <v>233</v>
      </c>
      <c r="I230" t="s">
        <v>233</v>
      </c>
      <c r="J230"/>
    </row>
    <row r="231" spans="2:10" x14ac:dyDescent="0.35">
      <c r="B231">
        <v>1664</v>
      </c>
      <c r="C231"/>
      <c r="D231" t="s">
        <v>851</v>
      </c>
      <c r="E231" t="s">
        <v>774</v>
      </c>
      <c r="F231" t="s">
        <v>812</v>
      </c>
      <c r="G231" t="s">
        <v>807</v>
      </c>
      <c r="H231" t="s">
        <v>811</v>
      </c>
      <c r="I231" t="s">
        <v>811</v>
      </c>
      <c r="J231"/>
    </row>
    <row r="232" spans="2:10" x14ac:dyDescent="0.35">
      <c r="B232">
        <v>1665</v>
      </c>
      <c r="C232"/>
      <c r="D232" t="s">
        <v>298</v>
      </c>
      <c r="E232" t="s">
        <v>81</v>
      </c>
      <c r="F232" t="s">
        <v>299</v>
      </c>
      <c r="G232" t="s">
        <v>300</v>
      </c>
      <c r="H232" t="s">
        <v>300</v>
      </c>
      <c r="I232" t="s">
        <v>51</v>
      </c>
      <c r="J232"/>
    </row>
    <row r="233" spans="2:10" x14ac:dyDescent="0.35">
      <c r="B233">
        <v>1667</v>
      </c>
      <c r="C233"/>
      <c r="D233" t="s">
        <v>301</v>
      </c>
      <c r="E233" t="s">
        <v>65</v>
      </c>
      <c r="F233" t="s">
        <v>91</v>
      </c>
      <c r="G233" t="s">
        <v>343</v>
      </c>
      <c r="H233" t="s">
        <v>92</v>
      </c>
      <c r="I233" t="s">
        <v>77</v>
      </c>
      <c r="J233"/>
    </row>
    <row r="234" spans="2:10" x14ac:dyDescent="0.35">
      <c r="B234">
        <v>1668</v>
      </c>
      <c r="C234"/>
      <c r="D234" t="s">
        <v>302</v>
      </c>
      <c r="E234" t="s">
        <v>72</v>
      </c>
      <c r="F234" t="s">
        <v>86</v>
      </c>
      <c r="G234" t="s">
        <v>172</v>
      </c>
      <c r="H234" t="s">
        <v>87</v>
      </c>
      <c r="I234" t="s">
        <v>77</v>
      </c>
      <c r="J234"/>
    </row>
    <row r="235" spans="2:10" x14ac:dyDescent="0.35">
      <c r="B235">
        <v>1670</v>
      </c>
      <c r="C235"/>
      <c r="D235" t="s">
        <v>852</v>
      </c>
      <c r="E235" t="s">
        <v>774</v>
      </c>
      <c r="F235" t="s">
        <v>151</v>
      </c>
      <c r="G235" t="s">
        <v>807</v>
      </c>
      <c r="H235" t="s">
        <v>152</v>
      </c>
      <c r="I235" t="s">
        <v>152</v>
      </c>
      <c r="J235"/>
    </row>
    <row r="236" spans="2:10" x14ac:dyDescent="0.35">
      <c r="B236">
        <v>1671</v>
      </c>
      <c r="C236"/>
      <c r="D236" t="s">
        <v>303</v>
      </c>
      <c r="E236" t="s">
        <v>81</v>
      </c>
      <c r="F236" t="s">
        <v>182</v>
      </c>
      <c r="G236" t="s">
        <v>183</v>
      </c>
      <c r="H236" t="s">
        <v>183</v>
      </c>
      <c r="I236" t="s">
        <v>98</v>
      </c>
      <c r="J236"/>
    </row>
    <row r="237" spans="2:10" x14ac:dyDescent="0.35">
      <c r="B237">
        <v>1673</v>
      </c>
      <c r="C237"/>
      <c r="D237" t="s">
        <v>304</v>
      </c>
      <c r="E237" t="s">
        <v>81</v>
      </c>
      <c r="F237" t="s">
        <v>110</v>
      </c>
      <c r="G237" t="s">
        <v>111</v>
      </c>
      <c r="H237" t="s">
        <v>111</v>
      </c>
      <c r="I237" t="s">
        <v>112</v>
      </c>
      <c r="J237"/>
    </row>
    <row r="238" spans="2:10" x14ac:dyDescent="0.35">
      <c r="B238">
        <v>1679</v>
      </c>
      <c r="C238"/>
      <c r="D238" t="s">
        <v>305</v>
      </c>
      <c r="E238" t="s">
        <v>45</v>
      </c>
      <c r="F238" t="s">
        <v>75</v>
      </c>
      <c r="G238" t="s">
        <v>76</v>
      </c>
      <c r="H238" t="s">
        <v>76</v>
      </c>
      <c r="I238" t="s">
        <v>56</v>
      </c>
      <c r="J238"/>
    </row>
    <row r="239" spans="2:10" x14ac:dyDescent="0.35">
      <c r="B239">
        <v>1680</v>
      </c>
      <c r="C239"/>
      <c r="D239" t="s">
        <v>126</v>
      </c>
      <c r="E239" t="s">
        <v>798</v>
      </c>
      <c r="F239" t="s">
        <v>125</v>
      </c>
      <c r="G239" t="s">
        <v>55</v>
      </c>
      <c r="H239" t="s">
        <v>55</v>
      </c>
      <c r="I239" t="s">
        <v>56</v>
      </c>
      <c r="J239"/>
    </row>
    <row r="240" spans="2:10" x14ac:dyDescent="0.35">
      <c r="B240">
        <v>1684</v>
      </c>
      <c r="C240"/>
      <c r="D240" t="s">
        <v>306</v>
      </c>
      <c r="E240" t="s">
        <v>81</v>
      </c>
      <c r="F240" t="s">
        <v>844</v>
      </c>
      <c r="G240" t="s">
        <v>832</v>
      </c>
      <c r="H240" t="s">
        <v>807</v>
      </c>
      <c r="I240" t="s">
        <v>98</v>
      </c>
      <c r="J240"/>
    </row>
    <row r="241" spans="2:10" x14ac:dyDescent="0.35">
      <c r="B241">
        <v>1686</v>
      </c>
      <c r="C241"/>
      <c r="D241" t="s">
        <v>307</v>
      </c>
      <c r="E241" t="s">
        <v>145</v>
      </c>
      <c r="F241" t="s">
        <v>75</v>
      </c>
      <c r="G241" t="s">
        <v>266</v>
      </c>
      <c r="H241" t="s">
        <v>76</v>
      </c>
      <c r="I241" t="s">
        <v>56</v>
      </c>
      <c r="J241"/>
    </row>
    <row r="242" spans="2:10" x14ac:dyDescent="0.35">
      <c r="B242">
        <v>1687</v>
      </c>
      <c r="C242"/>
      <c r="D242" t="s">
        <v>308</v>
      </c>
      <c r="E242" t="s">
        <v>72</v>
      </c>
      <c r="F242" t="s">
        <v>86</v>
      </c>
      <c r="G242" t="s">
        <v>172</v>
      </c>
      <c r="H242" t="s">
        <v>87</v>
      </c>
      <c r="I242" t="s">
        <v>77</v>
      </c>
      <c r="J242"/>
    </row>
    <row r="243" spans="2:10" x14ac:dyDescent="0.35">
      <c r="B243">
        <v>1688</v>
      </c>
      <c r="C243"/>
      <c r="D243" t="s">
        <v>309</v>
      </c>
      <c r="E243" t="s">
        <v>81</v>
      </c>
      <c r="F243" t="s">
        <v>119</v>
      </c>
      <c r="G243" t="s">
        <v>784</v>
      </c>
      <c r="H243" t="s">
        <v>784</v>
      </c>
      <c r="I243" t="s">
        <v>47</v>
      </c>
      <c r="J243"/>
    </row>
    <row r="244" spans="2:10" x14ac:dyDescent="0.35">
      <c r="B244">
        <v>1689</v>
      </c>
      <c r="C244"/>
      <c r="D244" t="s">
        <v>310</v>
      </c>
      <c r="E244" t="s">
        <v>81</v>
      </c>
      <c r="F244" t="s">
        <v>311</v>
      </c>
      <c r="G244" t="s">
        <v>312</v>
      </c>
      <c r="H244" t="s">
        <v>312</v>
      </c>
      <c r="I244" t="s">
        <v>47</v>
      </c>
      <c r="J244"/>
    </row>
    <row r="245" spans="2:10" x14ac:dyDescent="0.35">
      <c r="B245">
        <v>1690</v>
      </c>
      <c r="C245"/>
      <c r="D245" t="s">
        <v>313</v>
      </c>
      <c r="E245" t="s">
        <v>65</v>
      </c>
      <c r="F245" t="s">
        <v>75</v>
      </c>
      <c r="G245" t="s">
        <v>266</v>
      </c>
      <c r="H245" t="s">
        <v>76</v>
      </c>
      <c r="I245" t="s">
        <v>56</v>
      </c>
      <c r="J245"/>
    </row>
    <row r="246" spans="2:10" x14ac:dyDescent="0.35">
      <c r="B246">
        <v>1691</v>
      </c>
      <c r="C246"/>
      <c r="D246" t="s">
        <v>69</v>
      </c>
      <c r="E246" t="s">
        <v>802</v>
      </c>
      <c r="F246" t="s">
        <v>68</v>
      </c>
      <c r="G246" t="s">
        <v>70</v>
      </c>
      <c r="H246" t="s">
        <v>70</v>
      </c>
      <c r="I246" t="s">
        <v>70</v>
      </c>
      <c r="J246"/>
    </row>
    <row r="247" spans="2:10" x14ac:dyDescent="0.35">
      <c r="B247">
        <v>1693</v>
      </c>
      <c r="C247"/>
      <c r="D247" t="s">
        <v>314</v>
      </c>
      <c r="E247" t="s">
        <v>72</v>
      </c>
      <c r="F247" t="s">
        <v>91</v>
      </c>
      <c r="G247" t="s">
        <v>343</v>
      </c>
      <c r="H247" t="s">
        <v>92</v>
      </c>
      <c r="I247" t="s">
        <v>77</v>
      </c>
      <c r="J247"/>
    </row>
    <row r="248" spans="2:10" x14ac:dyDescent="0.35">
      <c r="B248">
        <v>1694</v>
      </c>
      <c r="C248"/>
      <c r="D248" t="s">
        <v>315</v>
      </c>
      <c r="E248" t="s">
        <v>81</v>
      </c>
      <c r="F248" t="s">
        <v>157</v>
      </c>
      <c r="G248" t="s">
        <v>158</v>
      </c>
      <c r="H248" t="s">
        <v>158</v>
      </c>
      <c r="I248" t="s">
        <v>98</v>
      </c>
      <c r="J248"/>
    </row>
    <row r="249" spans="2:10" x14ac:dyDescent="0.35">
      <c r="B249">
        <v>1695</v>
      </c>
      <c r="C249"/>
      <c r="D249" t="s">
        <v>316</v>
      </c>
      <c r="E249" t="s">
        <v>62</v>
      </c>
      <c r="F249"/>
      <c r="G249" t="s">
        <v>837</v>
      </c>
      <c r="H249" t="s">
        <v>771</v>
      </c>
      <c r="I249" t="s">
        <v>771</v>
      </c>
      <c r="J249"/>
    </row>
    <row r="250" spans="2:10" x14ac:dyDescent="0.35">
      <c r="B250">
        <v>1696</v>
      </c>
      <c r="C250"/>
      <c r="D250" t="s">
        <v>317</v>
      </c>
      <c r="E250" t="s">
        <v>81</v>
      </c>
      <c r="F250" t="s">
        <v>225</v>
      </c>
      <c r="G250" t="s">
        <v>98</v>
      </c>
      <c r="H250" t="s">
        <v>98</v>
      </c>
      <c r="I250" t="s">
        <v>98</v>
      </c>
      <c r="J250"/>
    </row>
    <row r="251" spans="2:10" x14ac:dyDescent="0.35">
      <c r="B251">
        <v>1698</v>
      </c>
      <c r="C251"/>
      <c r="D251" t="s">
        <v>318</v>
      </c>
      <c r="E251" t="s">
        <v>81</v>
      </c>
      <c r="F251"/>
      <c r="G251" t="s">
        <v>807</v>
      </c>
      <c r="H251" t="s">
        <v>183</v>
      </c>
      <c r="I251" t="s">
        <v>183</v>
      </c>
      <c r="J251"/>
    </row>
    <row r="252" spans="2:10" x14ac:dyDescent="0.35">
      <c r="B252">
        <v>1700</v>
      </c>
      <c r="C252"/>
      <c r="D252" t="s">
        <v>319</v>
      </c>
      <c r="E252" t="s">
        <v>45</v>
      </c>
      <c r="F252" t="s">
        <v>46</v>
      </c>
      <c r="G252" t="s">
        <v>37</v>
      </c>
      <c r="H252" t="s">
        <v>37</v>
      </c>
      <c r="I252" t="s">
        <v>47</v>
      </c>
      <c r="J252"/>
    </row>
    <row r="253" spans="2:10" x14ac:dyDescent="0.35">
      <c r="B253">
        <v>1701</v>
      </c>
      <c r="C253"/>
      <c r="D253" t="s">
        <v>320</v>
      </c>
      <c r="E253" t="s">
        <v>145</v>
      </c>
      <c r="F253" t="s">
        <v>75</v>
      </c>
      <c r="G253" t="s">
        <v>76</v>
      </c>
      <c r="H253" t="s">
        <v>76</v>
      </c>
      <c r="I253" t="s">
        <v>56</v>
      </c>
      <c r="J253"/>
    </row>
    <row r="254" spans="2:10" x14ac:dyDescent="0.35">
      <c r="B254">
        <v>1702</v>
      </c>
      <c r="C254"/>
      <c r="D254" t="s">
        <v>321</v>
      </c>
      <c r="E254" t="s">
        <v>58</v>
      </c>
      <c r="F254"/>
      <c r="G254" t="s">
        <v>837</v>
      </c>
      <c r="H254" t="s">
        <v>264</v>
      </c>
      <c r="I254" t="s">
        <v>264</v>
      </c>
      <c r="J254"/>
    </row>
    <row r="255" spans="2:10" x14ac:dyDescent="0.35">
      <c r="B255">
        <v>1704</v>
      </c>
      <c r="C255"/>
      <c r="D255" t="s">
        <v>322</v>
      </c>
      <c r="E255" t="s">
        <v>72</v>
      </c>
      <c r="F255" t="s">
        <v>91</v>
      </c>
      <c r="G255" t="s">
        <v>343</v>
      </c>
      <c r="H255" t="s">
        <v>92</v>
      </c>
      <c r="I255" t="s">
        <v>77</v>
      </c>
      <c r="J255"/>
    </row>
    <row r="256" spans="2:10" x14ac:dyDescent="0.35">
      <c r="B256" s="147">
        <v>1706</v>
      </c>
      <c r="D256" s="147" t="s">
        <v>323</v>
      </c>
      <c r="E256" s="147" t="s">
        <v>45</v>
      </c>
      <c r="F256" s="147" t="s">
        <v>245</v>
      </c>
      <c r="G256" s="147" t="s">
        <v>246</v>
      </c>
      <c r="H256" s="147" t="s">
        <v>246</v>
      </c>
      <c r="I256" s="147" t="s">
        <v>47</v>
      </c>
    </row>
    <row r="257" spans="2:9" x14ac:dyDescent="0.35">
      <c r="B257" s="147">
        <v>1707</v>
      </c>
      <c r="D257" s="147" t="s">
        <v>324</v>
      </c>
      <c r="E257" s="147" t="s">
        <v>81</v>
      </c>
      <c r="F257" s="147" t="s">
        <v>276</v>
      </c>
      <c r="G257" s="147" t="s">
        <v>277</v>
      </c>
      <c r="H257" s="147" t="s">
        <v>277</v>
      </c>
      <c r="I257" s="147" t="s">
        <v>56</v>
      </c>
    </row>
    <row r="258" spans="2:9" x14ac:dyDescent="0.35">
      <c r="B258" s="147">
        <v>1709</v>
      </c>
      <c r="D258" s="147" t="s">
        <v>325</v>
      </c>
      <c r="E258" s="147" t="s">
        <v>45</v>
      </c>
      <c r="F258" s="147" t="s">
        <v>59</v>
      </c>
      <c r="G258" s="147" t="s">
        <v>60</v>
      </c>
      <c r="H258" s="147" t="s">
        <v>60</v>
      </c>
      <c r="I258" s="147" t="s">
        <v>47</v>
      </c>
    </row>
    <row r="259" spans="2:9" x14ac:dyDescent="0.35">
      <c r="B259" s="147">
        <v>1710</v>
      </c>
      <c r="D259" s="147" t="s">
        <v>326</v>
      </c>
      <c r="E259" s="147" t="s">
        <v>145</v>
      </c>
      <c r="F259" s="147" t="s">
        <v>75</v>
      </c>
      <c r="G259" s="147" t="s">
        <v>76</v>
      </c>
      <c r="H259" s="147" t="s">
        <v>76</v>
      </c>
      <c r="I259" s="147" t="s">
        <v>56</v>
      </c>
    </row>
    <row r="260" spans="2:9" x14ac:dyDescent="0.35">
      <c r="B260" s="147">
        <v>1711</v>
      </c>
      <c r="D260" s="147" t="s">
        <v>327</v>
      </c>
      <c r="E260" s="147" t="s">
        <v>81</v>
      </c>
      <c r="F260" s="147" t="s">
        <v>188</v>
      </c>
      <c r="G260" s="147" t="s">
        <v>271</v>
      </c>
      <c r="H260" s="147" t="s">
        <v>112</v>
      </c>
      <c r="I260" s="147" t="s">
        <v>112</v>
      </c>
    </row>
    <row r="261" spans="2:9" x14ac:dyDescent="0.35">
      <c r="B261" s="147">
        <v>1712</v>
      </c>
      <c r="D261" s="147" t="s">
        <v>60</v>
      </c>
      <c r="E261" s="147" t="s">
        <v>798</v>
      </c>
      <c r="F261" s="147" t="s">
        <v>59</v>
      </c>
      <c r="G261" s="147" t="s">
        <v>47</v>
      </c>
      <c r="H261" s="147" t="s">
        <v>47</v>
      </c>
      <c r="I261" s="147" t="s">
        <v>47</v>
      </c>
    </row>
    <row r="262" spans="2:9" x14ac:dyDescent="0.35">
      <c r="B262" s="147">
        <v>1713</v>
      </c>
      <c r="D262" s="147" t="s">
        <v>328</v>
      </c>
      <c r="E262" s="147" t="s">
        <v>74</v>
      </c>
      <c r="F262" s="147" t="s">
        <v>329</v>
      </c>
      <c r="G262" s="147" t="s">
        <v>330</v>
      </c>
      <c r="H262" s="147" t="s">
        <v>330</v>
      </c>
      <c r="I262" s="147" t="s">
        <v>56</v>
      </c>
    </row>
    <row r="263" spans="2:9" x14ac:dyDescent="0.35">
      <c r="B263" s="147">
        <v>1714</v>
      </c>
      <c r="D263" s="147" t="s">
        <v>331</v>
      </c>
      <c r="E263" s="147" t="s">
        <v>145</v>
      </c>
      <c r="F263" s="147" t="s">
        <v>75</v>
      </c>
      <c r="G263" s="147" t="s">
        <v>76</v>
      </c>
      <c r="H263" s="147" t="s">
        <v>76</v>
      </c>
      <c r="I263" s="147" t="s">
        <v>56</v>
      </c>
    </row>
    <row r="264" spans="2:9" x14ac:dyDescent="0.35">
      <c r="B264" s="147">
        <v>1715</v>
      </c>
      <c r="D264" s="147" t="s">
        <v>332</v>
      </c>
      <c r="E264" s="147" t="s">
        <v>53</v>
      </c>
      <c r="F264" s="147" t="s">
        <v>229</v>
      </c>
      <c r="G264" s="147" t="s">
        <v>230</v>
      </c>
      <c r="H264" s="147" t="s">
        <v>230</v>
      </c>
      <c r="I264" s="147" t="s">
        <v>70</v>
      </c>
    </row>
    <row r="265" spans="2:9" x14ac:dyDescent="0.35">
      <c r="B265" s="147">
        <v>1717</v>
      </c>
      <c r="D265" s="147" t="s">
        <v>212</v>
      </c>
      <c r="E265" s="147" t="s">
        <v>802</v>
      </c>
      <c r="F265" s="147" t="s">
        <v>206</v>
      </c>
      <c r="G265" s="147" t="s">
        <v>98</v>
      </c>
      <c r="H265" s="147" t="s">
        <v>98</v>
      </c>
      <c r="I265" s="147" t="s">
        <v>98</v>
      </c>
    </row>
    <row r="266" spans="2:9" x14ac:dyDescent="0.35">
      <c r="B266" s="147">
        <v>1719</v>
      </c>
      <c r="D266" s="147" t="s">
        <v>853</v>
      </c>
      <c r="E266" s="147" t="s">
        <v>774</v>
      </c>
      <c r="F266" s="147" t="s">
        <v>809</v>
      </c>
      <c r="G266" s="147" t="s">
        <v>807</v>
      </c>
      <c r="H266" s="147" t="s">
        <v>810</v>
      </c>
      <c r="I266" s="147" t="s">
        <v>810</v>
      </c>
    </row>
    <row r="267" spans="2:9" x14ac:dyDescent="0.35">
      <c r="B267" s="147">
        <v>1722</v>
      </c>
      <c r="D267" s="147" t="s">
        <v>333</v>
      </c>
      <c r="E267" s="147" t="s">
        <v>62</v>
      </c>
      <c r="F267" s="147" t="s">
        <v>63</v>
      </c>
      <c r="G267" s="147" t="s">
        <v>51</v>
      </c>
      <c r="H267" s="147" t="s">
        <v>51</v>
      </c>
      <c r="I267" s="147" t="s">
        <v>51</v>
      </c>
    </row>
    <row r="268" spans="2:9" x14ac:dyDescent="0.35">
      <c r="B268" s="147">
        <v>1723</v>
      </c>
      <c r="D268" s="147" t="s">
        <v>334</v>
      </c>
      <c r="E268" s="147" t="s">
        <v>65</v>
      </c>
      <c r="F268" s="147" t="s">
        <v>75</v>
      </c>
      <c r="G268" s="147" t="s">
        <v>266</v>
      </c>
      <c r="H268" s="147" t="s">
        <v>76</v>
      </c>
      <c r="I268" s="147" t="s">
        <v>56</v>
      </c>
    </row>
    <row r="269" spans="2:9" x14ac:dyDescent="0.35">
      <c r="B269" s="147">
        <v>1724</v>
      </c>
      <c r="D269" s="147" t="s">
        <v>335</v>
      </c>
      <c r="E269" s="147" t="s">
        <v>81</v>
      </c>
      <c r="F269" s="147" t="s">
        <v>167</v>
      </c>
      <c r="G269" s="147" t="s">
        <v>168</v>
      </c>
      <c r="H269" s="147" t="s">
        <v>168</v>
      </c>
      <c r="I269" s="147" t="s">
        <v>56</v>
      </c>
    </row>
    <row r="270" spans="2:9" x14ac:dyDescent="0.35">
      <c r="B270" s="147">
        <v>1725</v>
      </c>
      <c r="D270" s="147" t="s">
        <v>246</v>
      </c>
      <c r="E270" s="147" t="s">
        <v>798</v>
      </c>
      <c r="F270" s="147" t="s">
        <v>245</v>
      </c>
      <c r="G270" s="147" t="s">
        <v>47</v>
      </c>
      <c r="H270" s="147" t="s">
        <v>47</v>
      </c>
      <c r="I270" s="147" t="s">
        <v>47</v>
      </c>
    </row>
    <row r="271" spans="2:9" x14ac:dyDescent="0.35">
      <c r="B271" s="147">
        <v>1726</v>
      </c>
      <c r="D271" s="147" t="s">
        <v>336</v>
      </c>
      <c r="E271" s="147" t="s">
        <v>81</v>
      </c>
      <c r="F271" s="147" t="s">
        <v>138</v>
      </c>
      <c r="G271" s="147" t="s">
        <v>139</v>
      </c>
      <c r="H271" s="147" t="s">
        <v>139</v>
      </c>
      <c r="I271" s="147" t="s">
        <v>112</v>
      </c>
    </row>
    <row r="272" spans="2:9" x14ac:dyDescent="0.35">
      <c r="B272" s="147">
        <v>1727</v>
      </c>
      <c r="D272" s="147" t="s">
        <v>300</v>
      </c>
      <c r="E272" s="147" t="s">
        <v>854</v>
      </c>
      <c r="G272" s="147" t="s">
        <v>299</v>
      </c>
      <c r="H272" s="147" t="s">
        <v>855</v>
      </c>
      <c r="I272" s="147" t="s">
        <v>856</v>
      </c>
    </row>
    <row r="273" spans="2:9" x14ac:dyDescent="0.35">
      <c r="B273" s="147">
        <v>1730</v>
      </c>
      <c r="D273" s="147" t="s">
        <v>857</v>
      </c>
      <c r="E273" s="147" t="s">
        <v>774</v>
      </c>
      <c r="F273" s="147" t="s">
        <v>248</v>
      </c>
      <c r="G273" s="147" t="s">
        <v>807</v>
      </c>
      <c r="H273" s="147" t="s">
        <v>249</v>
      </c>
      <c r="I273" s="147" t="s">
        <v>249</v>
      </c>
    </row>
    <row r="274" spans="2:9" x14ac:dyDescent="0.35">
      <c r="B274" s="147">
        <v>1732</v>
      </c>
      <c r="D274" s="147" t="s">
        <v>233</v>
      </c>
      <c r="E274" s="147" t="s">
        <v>802</v>
      </c>
      <c r="F274" s="147" t="s">
        <v>232</v>
      </c>
      <c r="G274" s="147" t="s">
        <v>112</v>
      </c>
      <c r="H274" s="147" t="s">
        <v>112</v>
      </c>
      <c r="I274" s="147" t="s">
        <v>112</v>
      </c>
    </row>
    <row r="275" spans="2:9" x14ac:dyDescent="0.35">
      <c r="B275" s="147">
        <v>1733</v>
      </c>
      <c r="D275" s="147" t="s">
        <v>337</v>
      </c>
      <c r="E275" s="147" t="s">
        <v>45</v>
      </c>
      <c r="F275" s="147" t="s">
        <v>46</v>
      </c>
      <c r="G275" s="147" t="s">
        <v>143</v>
      </c>
      <c r="H275" s="147" t="s">
        <v>37</v>
      </c>
      <c r="I275" s="147" t="s">
        <v>47</v>
      </c>
    </row>
    <row r="276" spans="2:9" x14ac:dyDescent="0.35">
      <c r="B276" s="147">
        <v>1734</v>
      </c>
      <c r="D276" s="147" t="s">
        <v>338</v>
      </c>
      <c r="E276" s="147" t="s">
        <v>81</v>
      </c>
      <c r="F276" s="147" t="s">
        <v>128</v>
      </c>
      <c r="G276" s="147" t="s">
        <v>220</v>
      </c>
      <c r="H276" s="147" t="s">
        <v>55</v>
      </c>
      <c r="I276" s="147" t="s">
        <v>56</v>
      </c>
    </row>
    <row r="277" spans="2:9" x14ac:dyDescent="0.35">
      <c r="B277" s="147">
        <v>1738</v>
      </c>
      <c r="D277" s="147" t="s">
        <v>339</v>
      </c>
      <c r="E277" s="147" t="s">
        <v>45</v>
      </c>
      <c r="F277" s="147" t="s">
        <v>276</v>
      </c>
      <c r="G277" s="147" t="s">
        <v>277</v>
      </c>
      <c r="H277" s="147" t="s">
        <v>277</v>
      </c>
      <c r="I277" s="147" t="s">
        <v>56</v>
      </c>
    </row>
    <row r="278" spans="2:9" x14ac:dyDescent="0.35">
      <c r="B278" s="147">
        <v>1739</v>
      </c>
      <c r="D278" s="147" t="s">
        <v>340</v>
      </c>
      <c r="E278" s="147" t="s">
        <v>81</v>
      </c>
      <c r="F278" s="147" t="s">
        <v>125</v>
      </c>
      <c r="G278" s="147" t="s">
        <v>126</v>
      </c>
      <c r="H278" s="147" t="s">
        <v>126</v>
      </c>
      <c r="I278" s="147" t="s">
        <v>56</v>
      </c>
    </row>
    <row r="279" spans="2:9" x14ac:dyDescent="0.35">
      <c r="B279" s="147">
        <v>1740</v>
      </c>
      <c r="D279" s="147" t="s">
        <v>341</v>
      </c>
      <c r="E279" s="147" t="s">
        <v>45</v>
      </c>
      <c r="F279" s="147" t="s">
        <v>198</v>
      </c>
      <c r="G279" s="147" t="s">
        <v>199</v>
      </c>
      <c r="H279" s="147" t="s">
        <v>199</v>
      </c>
      <c r="I279" s="147" t="s">
        <v>51</v>
      </c>
    </row>
    <row r="280" spans="2:9" x14ac:dyDescent="0.35">
      <c r="B280" s="147">
        <v>1741</v>
      </c>
      <c r="D280" s="147" t="s">
        <v>76</v>
      </c>
      <c r="E280" s="147" t="s">
        <v>798</v>
      </c>
      <c r="F280" s="147" t="s">
        <v>75</v>
      </c>
      <c r="G280" s="147" t="s">
        <v>56</v>
      </c>
      <c r="H280" s="147" t="s">
        <v>56</v>
      </c>
      <c r="I280" s="147" t="s">
        <v>56</v>
      </c>
    </row>
    <row r="281" spans="2:9" x14ac:dyDescent="0.35">
      <c r="B281" s="147">
        <v>1742</v>
      </c>
      <c r="D281" s="147" t="s">
        <v>77</v>
      </c>
      <c r="E281" s="147" t="s">
        <v>858</v>
      </c>
      <c r="F281" s="147" t="s">
        <v>859</v>
      </c>
      <c r="G281" s="147" t="s">
        <v>77</v>
      </c>
      <c r="H281" s="147" t="s">
        <v>77</v>
      </c>
      <c r="I281" s="147" t="s">
        <v>77</v>
      </c>
    </row>
    <row r="282" spans="2:9" x14ac:dyDescent="0.35">
      <c r="B282" s="147">
        <v>1745</v>
      </c>
      <c r="D282" s="147" t="s">
        <v>342</v>
      </c>
      <c r="E282" s="147" t="s">
        <v>45</v>
      </c>
      <c r="F282" s="147" t="s">
        <v>132</v>
      </c>
      <c r="G282" s="147" t="s">
        <v>133</v>
      </c>
      <c r="H282" s="147" t="s">
        <v>133</v>
      </c>
      <c r="I282" s="147" t="s">
        <v>70</v>
      </c>
    </row>
    <row r="283" spans="2:9" x14ac:dyDescent="0.35">
      <c r="B283" s="147">
        <v>1746</v>
      </c>
      <c r="D283" s="147" t="s">
        <v>343</v>
      </c>
      <c r="E283" s="147" t="s">
        <v>74</v>
      </c>
      <c r="F283" s="147" t="s">
        <v>91</v>
      </c>
      <c r="G283" s="147" t="s">
        <v>92</v>
      </c>
      <c r="H283" s="147" t="s">
        <v>92</v>
      </c>
      <c r="I283" s="147" t="s">
        <v>77</v>
      </c>
    </row>
    <row r="284" spans="2:9" x14ac:dyDescent="0.35">
      <c r="B284" s="147">
        <v>1748</v>
      </c>
      <c r="D284" s="147" t="s">
        <v>344</v>
      </c>
      <c r="E284" s="147" t="s">
        <v>45</v>
      </c>
      <c r="F284" s="147" t="s">
        <v>54</v>
      </c>
      <c r="G284" s="147" t="s">
        <v>52</v>
      </c>
      <c r="H284" s="147" t="s">
        <v>55</v>
      </c>
      <c r="I284" s="147" t="s">
        <v>56</v>
      </c>
    </row>
    <row r="285" spans="2:9" x14ac:dyDescent="0.35">
      <c r="B285" s="147">
        <v>1749</v>
      </c>
      <c r="D285" s="147" t="s">
        <v>860</v>
      </c>
      <c r="E285" s="147" t="s">
        <v>774</v>
      </c>
      <c r="F285" s="147" t="s">
        <v>232</v>
      </c>
      <c r="G285" s="147" t="s">
        <v>804</v>
      </c>
      <c r="H285" s="147" t="s">
        <v>233</v>
      </c>
      <c r="I285" s="147" t="s">
        <v>233</v>
      </c>
    </row>
    <row r="286" spans="2:9" x14ac:dyDescent="0.35">
      <c r="B286" s="147">
        <v>1752</v>
      </c>
      <c r="D286" s="147" t="s">
        <v>345</v>
      </c>
      <c r="E286" s="147" t="s">
        <v>58</v>
      </c>
      <c r="F286" s="147" t="s">
        <v>229</v>
      </c>
      <c r="G286" s="147" t="s">
        <v>230</v>
      </c>
      <c r="H286" s="147" t="s">
        <v>230</v>
      </c>
      <c r="I286" s="147" t="s">
        <v>70</v>
      </c>
    </row>
    <row r="287" spans="2:9" x14ac:dyDescent="0.35">
      <c r="B287" s="147">
        <v>1753</v>
      </c>
      <c r="D287" s="147" t="s">
        <v>346</v>
      </c>
      <c r="E287" s="147" t="s">
        <v>45</v>
      </c>
      <c r="F287" s="147" t="s">
        <v>59</v>
      </c>
      <c r="G287" s="147" t="s">
        <v>60</v>
      </c>
      <c r="H287" s="147" t="s">
        <v>60</v>
      </c>
      <c r="I287" s="147" t="s">
        <v>47</v>
      </c>
    </row>
    <row r="288" spans="2:9" x14ac:dyDescent="0.35">
      <c r="B288" s="147">
        <v>1754</v>
      </c>
      <c r="D288" s="147" t="s">
        <v>347</v>
      </c>
      <c r="E288" s="147" t="s">
        <v>45</v>
      </c>
      <c r="F288" s="147" t="s">
        <v>46</v>
      </c>
      <c r="G288" s="147" t="s">
        <v>143</v>
      </c>
      <c r="H288" s="147" t="s">
        <v>37</v>
      </c>
      <c r="I288" s="147" t="s">
        <v>47</v>
      </c>
    </row>
    <row r="289" spans="2:9" x14ac:dyDescent="0.35">
      <c r="B289" s="147">
        <v>1755</v>
      </c>
      <c r="D289" s="147" t="s">
        <v>348</v>
      </c>
      <c r="E289" s="147" t="s">
        <v>81</v>
      </c>
      <c r="F289" s="147" t="s">
        <v>206</v>
      </c>
      <c r="G289" s="147" t="s">
        <v>97</v>
      </c>
      <c r="H289" s="147" t="s">
        <v>97</v>
      </c>
      <c r="I289" s="147" t="s">
        <v>98</v>
      </c>
    </row>
    <row r="290" spans="2:9" x14ac:dyDescent="0.35">
      <c r="B290" s="147">
        <v>1756</v>
      </c>
      <c r="D290" s="147" t="s">
        <v>861</v>
      </c>
      <c r="E290" s="147" t="s">
        <v>774</v>
      </c>
      <c r="F290" s="147" t="s">
        <v>355</v>
      </c>
      <c r="G290" s="147" t="s">
        <v>804</v>
      </c>
      <c r="H290" s="147" t="s">
        <v>92</v>
      </c>
      <c r="I290" s="147" t="s">
        <v>92</v>
      </c>
    </row>
    <row r="291" spans="2:9" x14ac:dyDescent="0.35">
      <c r="B291" s="147">
        <v>1758</v>
      </c>
      <c r="D291" s="147" t="s">
        <v>349</v>
      </c>
      <c r="E291" s="147" t="s">
        <v>45</v>
      </c>
      <c r="F291" s="147" t="s">
        <v>276</v>
      </c>
      <c r="G291" s="147" t="s">
        <v>277</v>
      </c>
      <c r="H291" s="147" t="s">
        <v>277</v>
      </c>
      <c r="I291" s="147" t="s">
        <v>56</v>
      </c>
    </row>
    <row r="292" spans="2:9" x14ac:dyDescent="0.35">
      <c r="B292" s="147">
        <v>1759</v>
      </c>
      <c r="D292" s="147" t="s">
        <v>350</v>
      </c>
      <c r="E292" s="147" t="s">
        <v>81</v>
      </c>
      <c r="F292" s="147" t="s">
        <v>198</v>
      </c>
      <c r="G292" s="147" t="s">
        <v>293</v>
      </c>
      <c r="H292" s="147" t="s">
        <v>199</v>
      </c>
      <c r="I292" s="147" t="s">
        <v>51</v>
      </c>
    </row>
    <row r="293" spans="2:9" x14ac:dyDescent="0.35">
      <c r="B293" s="147">
        <v>1760</v>
      </c>
      <c r="D293" s="147" t="s">
        <v>351</v>
      </c>
      <c r="E293" s="147" t="s">
        <v>145</v>
      </c>
      <c r="F293" s="147" t="s">
        <v>119</v>
      </c>
      <c r="G293" s="147" t="s">
        <v>784</v>
      </c>
      <c r="H293" s="147" t="s">
        <v>784</v>
      </c>
      <c r="I293" s="147" t="s">
        <v>47</v>
      </c>
    </row>
    <row r="294" spans="2:9" x14ac:dyDescent="0.35">
      <c r="B294" s="147">
        <v>1761</v>
      </c>
      <c r="D294" s="147" t="s">
        <v>352</v>
      </c>
      <c r="E294" s="147" t="s">
        <v>53</v>
      </c>
      <c r="F294" s="147" t="s">
        <v>59</v>
      </c>
      <c r="G294" s="147" t="s">
        <v>60</v>
      </c>
      <c r="H294" s="147" t="s">
        <v>60</v>
      </c>
      <c r="I294" s="147" t="s">
        <v>47</v>
      </c>
    </row>
    <row r="295" spans="2:9" x14ac:dyDescent="0.35">
      <c r="B295" s="147">
        <v>1763</v>
      </c>
      <c r="D295" s="147" t="s">
        <v>353</v>
      </c>
      <c r="E295" s="147" t="s">
        <v>81</v>
      </c>
      <c r="F295" s="147" t="s">
        <v>188</v>
      </c>
      <c r="G295" s="147" t="s">
        <v>271</v>
      </c>
      <c r="H295" s="147" t="s">
        <v>112</v>
      </c>
      <c r="I295" s="147" t="s">
        <v>112</v>
      </c>
    </row>
    <row r="296" spans="2:9" x14ac:dyDescent="0.35">
      <c r="B296" s="147">
        <v>1765</v>
      </c>
      <c r="D296" s="147" t="s">
        <v>354</v>
      </c>
      <c r="E296" s="147" t="s">
        <v>62</v>
      </c>
      <c r="F296" s="147" t="s">
        <v>355</v>
      </c>
      <c r="G296" s="147" t="s">
        <v>92</v>
      </c>
      <c r="H296" s="147" t="s">
        <v>92</v>
      </c>
      <c r="I296" s="147" t="s">
        <v>77</v>
      </c>
    </row>
    <row r="297" spans="2:9" x14ac:dyDescent="0.35">
      <c r="B297" s="147">
        <v>1766</v>
      </c>
      <c r="D297" s="147" t="s">
        <v>356</v>
      </c>
      <c r="E297" s="147" t="s">
        <v>45</v>
      </c>
      <c r="F297" s="147" t="s">
        <v>329</v>
      </c>
      <c r="G297" s="147" t="s">
        <v>330</v>
      </c>
      <c r="H297" s="147" t="s">
        <v>330</v>
      </c>
      <c r="I297" s="147" t="s">
        <v>56</v>
      </c>
    </row>
    <row r="298" spans="2:9" x14ac:dyDescent="0.35">
      <c r="B298" s="147">
        <v>1767</v>
      </c>
      <c r="D298" s="147" t="s">
        <v>168</v>
      </c>
      <c r="E298" s="147" t="s">
        <v>798</v>
      </c>
      <c r="F298" s="147" t="s">
        <v>167</v>
      </c>
      <c r="G298" s="147" t="s">
        <v>56</v>
      </c>
      <c r="H298" s="147" t="s">
        <v>56</v>
      </c>
      <c r="I298" s="147" t="s">
        <v>56</v>
      </c>
    </row>
    <row r="299" spans="2:9" x14ac:dyDescent="0.35">
      <c r="B299" s="147">
        <v>1768</v>
      </c>
      <c r="D299" s="147" t="s">
        <v>862</v>
      </c>
      <c r="E299" s="147" t="s">
        <v>774</v>
      </c>
      <c r="F299" s="147" t="s">
        <v>232</v>
      </c>
      <c r="G299" s="147" t="s">
        <v>804</v>
      </c>
      <c r="H299" s="147" t="s">
        <v>233</v>
      </c>
      <c r="I299" s="147" t="s">
        <v>233</v>
      </c>
    </row>
    <row r="300" spans="2:9" x14ac:dyDescent="0.35">
      <c r="B300" s="147">
        <v>1770</v>
      </c>
      <c r="D300" s="147" t="s">
        <v>357</v>
      </c>
      <c r="E300" s="147" t="s">
        <v>49</v>
      </c>
      <c r="F300" s="147" t="s">
        <v>83</v>
      </c>
      <c r="G300" s="147" t="s">
        <v>69</v>
      </c>
      <c r="H300" s="147" t="s">
        <v>69</v>
      </c>
      <c r="I300" s="147" t="s">
        <v>70</v>
      </c>
    </row>
    <row r="301" spans="2:9" x14ac:dyDescent="0.35">
      <c r="B301" s="147">
        <v>1772</v>
      </c>
      <c r="D301" s="147" t="s">
        <v>358</v>
      </c>
      <c r="E301" s="147" t="s">
        <v>81</v>
      </c>
      <c r="F301" s="147" t="s">
        <v>54</v>
      </c>
      <c r="G301" s="147" t="s">
        <v>55</v>
      </c>
      <c r="H301" s="147" t="s">
        <v>55</v>
      </c>
      <c r="I301" s="147" t="s">
        <v>56</v>
      </c>
    </row>
    <row r="302" spans="2:9" x14ac:dyDescent="0.35">
      <c r="B302" s="147">
        <v>1773</v>
      </c>
      <c r="D302" s="147" t="s">
        <v>863</v>
      </c>
      <c r="E302" s="147" t="s">
        <v>800</v>
      </c>
      <c r="F302" s="147" t="s">
        <v>864</v>
      </c>
      <c r="G302" s="147" t="s">
        <v>47</v>
      </c>
      <c r="H302" s="147" t="s">
        <v>47</v>
      </c>
      <c r="I302" s="147" t="s">
        <v>47</v>
      </c>
    </row>
    <row r="303" spans="2:9" x14ac:dyDescent="0.35">
      <c r="B303" s="147">
        <v>1774</v>
      </c>
      <c r="D303" s="147" t="s">
        <v>865</v>
      </c>
      <c r="E303" s="147" t="s">
        <v>802</v>
      </c>
      <c r="F303" s="147" t="s">
        <v>866</v>
      </c>
      <c r="G303" s="147" t="s">
        <v>98</v>
      </c>
      <c r="H303" s="147" t="s">
        <v>98</v>
      </c>
      <c r="I303" s="147" t="s">
        <v>98</v>
      </c>
    </row>
    <row r="304" spans="2:9" x14ac:dyDescent="0.35">
      <c r="B304" s="147">
        <v>1775</v>
      </c>
      <c r="D304" s="147" t="s">
        <v>359</v>
      </c>
      <c r="E304" s="147" t="s">
        <v>95</v>
      </c>
      <c r="F304" s="147" t="s">
        <v>83</v>
      </c>
      <c r="G304" s="147" t="s">
        <v>69</v>
      </c>
      <c r="H304" s="147" t="s">
        <v>69</v>
      </c>
      <c r="I304" s="147" t="s">
        <v>70</v>
      </c>
    </row>
    <row r="305" spans="2:9" x14ac:dyDescent="0.35">
      <c r="B305" s="147">
        <v>1778</v>
      </c>
      <c r="D305" s="147" t="s">
        <v>360</v>
      </c>
      <c r="E305" s="147" t="s">
        <v>81</v>
      </c>
      <c r="F305" s="147" t="s">
        <v>299</v>
      </c>
      <c r="G305" s="147" t="s">
        <v>300</v>
      </c>
      <c r="H305" s="147" t="s">
        <v>300</v>
      </c>
      <c r="I305" s="147" t="s">
        <v>51</v>
      </c>
    </row>
    <row r="306" spans="2:9" x14ac:dyDescent="0.35">
      <c r="B306" s="147">
        <v>1779</v>
      </c>
      <c r="D306" s="147" t="s">
        <v>361</v>
      </c>
      <c r="E306" s="147" t="s">
        <v>65</v>
      </c>
      <c r="F306" s="147" t="s">
        <v>75</v>
      </c>
      <c r="G306" s="147" t="s">
        <v>266</v>
      </c>
      <c r="H306" s="147" t="s">
        <v>76</v>
      </c>
      <c r="I306" s="147" t="s">
        <v>56</v>
      </c>
    </row>
    <row r="307" spans="2:9" x14ac:dyDescent="0.35">
      <c r="B307" s="147">
        <v>1780</v>
      </c>
      <c r="D307" s="147" t="s">
        <v>362</v>
      </c>
      <c r="E307" s="147" t="s">
        <v>81</v>
      </c>
      <c r="F307" s="147" t="s">
        <v>50</v>
      </c>
      <c r="G307" s="147" t="s">
        <v>51</v>
      </c>
      <c r="H307" s="147" t="s">
        <v>51</v>
      </c>
      <c r="I307" s="147" t="s">
        <v>51</v>
      </c>
    </row>
    <row r="308" spans="2:9" x14ac:dyDescent="0.35">
      <c r="B308" s="147">
        <v>1781</v>
      </c>
      <c r="D308" s="147" t="s">
        <v>363</v>
      </c>
      <c r="E308" s="147" t="s">
        <v>81</v>
      </c>
      <c r="F308" s="147" t="s">
        <v>198</v>
      </c>
      <c r="G308" s="147" t="s">
        <v>199</v>
      </c>
      <c r="H308" s="147" t="s">
        <v>199</v>
      </c>
      <c r="I308" s="147" t="s">
        <v>51</v>
      </c>
    </row>
    <row r="309" spans="2:9" x14ac:dyDescent="0.35">
      <c r="B309" s="147">
        <v>1782</v>
      </c>
      <c r="D309" s="147" t="s">
        <v>364</v>
      </c>
      <c r="E309" s="147" t="s">
        <v>74</v>
      </c>
      <c r="F309" s="147" t="s">
        <v>211</v>
      </c>
      <c r="G309" s="147" t="s">
        <v>212</v>
      </c>
      <c r="H309" s="147" t="s">
        <v>212</v>
      </c>
      <c r="I309" s="147" t="s">
        <v>98</v>
      </c>
    </row>
    <row r="310" spans="2:9" x14ac:dyDescent="0.35">
      <c r="B310" s="147">
        <v>1783</v>
      </c>
      <c r="D310" s="147" t="s">
        <v>365</v>
      </c>
      <c r="E310" s="147" t="s">
        <v>45</v>
      </c>
      <c r="F310" s="147" t="s">
        <v>83</v>
      </c>
      <c r="G310" s="147" t="s">
        <v>69</v>
      </c>
      <c r="H310" s="147" t="s">
        <v>69</v>
      </c>
      <c r="I310" s="147" t="s">
        <v>70</v>
      </c>
    </row>
    <row r="311" spans="2:9" x14ac:dyDescent="0.35">
      <c r="B311" s="147">
        <v>1784</v>
      </c>
      <c r="D311" s="147" t="s">
        <v>787</v>
      </c>
      <c r="E311" s="147" t="s">
        <v>145</v>
      </c>
      <c r="F311" s="147" t="s">
        <v>75</v>
      </c>
      <c r="G311" s="147" t="s">
        <v>76</v>
      </c>
      <c r="H311" s="147" t="s">
        <v>76</v>
      </c>
      <c r="I311" s="147" t="s">
        <v>56</v>
      </c>
    </row>
    <row r="312" spans="2:9" x14ac:dyDescent="0.35">
      <c r="B312" s="147">
        <v>1785</v>
      </c>
      <c r="D312" s="147" t="s">
        <v>784</v>
      </c>
      <c r="E312" s="147" t="s">
        <v>802</v>
      </c>
      <c r="F312" s="147" t="s">
        <v>119</v>
      </c>
      <c r="G312" s="147" t="s">
        <v>47</v>
      </c>
      <c r="H312" s="147" t="s">
        <v>47</v>
      </c>
      <c r="I312" s="147" t="s">
        <v>47</v>
      </c>
    </row>
    <row r="313" spans="2:9" x14ac:dyDescent="0.35">
      <c r="B313" s="147">
        <v>1786</v>
      </c>
      <c r="D313" s="147" t="s">
        <v>788</v>
      </c>
      <c r="E313" s="147" t="s">
        <v>49</v>
      </c>
      <c r="F313" s="147" t="s">
        <v>83</v>
      </c>
      <c r="G313" s="147" t="s">
        <v>69</v>
      </c>
      <c r="H313" s="147" t="s">
        <v>69</v>
      </c>
      <c r="I313" s="147" t="s">
        <v>70</v>
      </c>
    </row>
    <row r="314" spans="2:9" x14ac:dyDescent="0.35">
      <c r="B314" s="147">
        <v>1787</v>
      </c>
      <c r="D314" s="147" t="s">
        <v>771</v>
      </c>
      <c r="E314" s="147" t="s">
        <v>798</v>
      </c>
      <c r="F314" s="147" t="s">
        <v>270</v>
      </c>
      <c r="G314" s="147" t="s">
        <v>51</v>
      </c>
      <c r="H314" s="147" t="s">
        <v>51</v>
      </c>
      <c r="I314" s="147" t="s">
        <v>51</v>
      </c>
    </row>
    <row r="315" spans="2:9" x14ac:dyDescent="0.35">
      <c r="B315" s="147">
        <v>1788</v>
      </c>
      <c r="D315" s="147" t="s">
        <v>789</v>
      </c>
      <c r="E315" s="147" t="s">
        <v>72</v>
      </c>
      <c r="F315" s="147" t="s">
        <v>91</v>
      </c>
      <c r="G315" s="147" t="s">
        <v>343</v>
      </c>
      <c r="H315" s="147" t="s">
        <v>92</v>
      </c>
      <c r="I315" s="147" t="s">
        <v>77</v>
      </c>
    </row>
    <row r="316" spans="2:9" x14ac:dyDescent="0.35">
      <c r="B316" s="147">
        <v>1789</v>
      </c>
      <c r="D316" s="147" t="s">
        <v>790</v>
      </c>
      <c r="E316" s="147" t="s">
        <v>62</v>
      </c>
      <c r="F316" s="147" t="s">
        <v>125</v>
      </c>
      <c r="G316" s="147" t="s">
        <v>126</v>
      </c>
      <c r="H316" s="147" t="s">
        <v>126</v>
      </c>
      <c r="I316" s="147" t="s">
        <v>56</v>
      </c>
    </row>
    <row r="317" spans="2:9" x14ac:dyDescent="0.35">
      <c r="B317" s="147">
        <v>1790</v>
      </c>
      <c r="D317" s="147" t="s">
        <v>775</v>
      </c>
      <c r="E317" s="147" t="s">
        <v>81</v>
      </c>
      <c r="F317" s="147" t="s">
        <v>182</v>
      </c>
      <c r="G317" s="147" t="s">
        <v>183</v>
      </c>
      <c r="H317" s="147" t="s">
        <v>183</v>
      </c>
      <c r="I317" s="147" t="s">
        <v>98</v>
      </c>
    </row>
    <row r="318" spans="2:9" x14ac:dyDescent="0.35">
      <c r="B318" s="147">
        <v>1791</v>
      </c>
      <c r="D318" s="147" t="s">
        <v>777</v>
      </c>
      <c r="E318" s="147" t="s">
        <v>62</v>
      </c>
      <c r="F318" s="147" t="s">
        <v>149</v>
      </c>
      <c r="G318" s="147" t="s">
        <v>250</v>
      </c>
      <c r="H318" s="147" t="s">
        <v>87</v>
      </c>
      <c r="I318" s="147" t="s">
        <v>56</v>
      </c>
    </row>
    <row r="319" spans="2:9" x14ac:dyDescent="0.35">
      <c r="B319" s="147">
        <v>1792</v>
      </c>
      <c r="D319" s="147" t="s">
        <v>778</v>
      </c>
      <c r="E319" s="147" t="s">
        <v>165</v>
      </c>
      <c r="F319" s="147" t="s">
        <v>83</v>
      </c>
      <c r="G319" s="147" t="s">
        <v>69</v>
      </c>
      <c r="H319" s="147" t="s">
        <v>69</v>
      </c>
      <c r="I319" s="147" t="s">
        <v>70</v>
      </c>
    </row>
    <row r="320" spans="2:9" x14ac:dyDescent="0.35">
      <c r="B320" s="147">
        <v>1793</v>
      </c>
      <c r="D320" s="147" t="s">
        <v>779</v>
      </c>
      <c r="E320" s="147" t="s">
        <v>145</v>
      </c>
      <c r="F320" s="147" t="s">
        <v>75</v>
      </c>
      <c r="G320" s="147" t="s">
        <v>76</v>
      </c>
      <c r="H320" s="147" t="s">
        <v>76</v>
      </c>
      <c r="I320" s="147" t="s">
        <v>56</v>
      </c>
    </row>
    <row r="321" spans="2:9" x14ac:dyDescent="0.35">
      <c r="B321" s="147">
        <v>1794</v>
      </c>
      <c r="D321" s="147" t="s">
        <v>780</v>
      </c>
      <c r="E321" s="147" t="s">
        <v>45</v>
      </c>
      <c r="F321" s="147" t="s">
        <v>245</v>
      </c>
      <c r="G321" s="147" t="s">
        <v>246</v>
      </c>
      <c r="H321" s="147" t="s">
        <v>246</v>
      </c>
      <c r="I321" s="147" t="s">
        <v>47</v>
      </c>
    </row>
    <row r="322" spans="2:9" x14ac:dyDescent="0.35">
      <c r="B322" s="147">
        <v>1795</v>
      </c>
      <c r="D322" s="147" t="s">
        <v>781</v>
      </c>
      <c r="E322" s="147" t="s">
        <v>81</v>
      </c>
      <c r="F322" s="147" t="s">
        <v>225</v>
      </c>
      <c r="G322" s="147" t="s">
        <v>98</v>
      </c>
      <c r="H322" s="147" t="s">
        <v>98</v>
      </c>
      <c r="I322" s="147" t="s">
        <v>98</v>
      </c>
    </row>
    <row r="323" spans="2:9" x14ac:dyDescent="0.35">
      <c r="B323" s="147">
        <v>1796</v>
      </c>
      <c r="D323" s="147" t="s">
        <v>782</v>
      </c>
      <c r="E323" s="147" t="s">
        <v>45</v>
      </c>
      <c r="F323" s="147" t="s">
        <v>59</v>
      </c>
      <c r="G323" s="147" t="s">
        <v>60</v>
      </c>
      <c r="H323" s="147" t="s">
        <v>60</v>
      </c>
      <c r="I323" s="147" t="s">
        <v>47</v>
      </c>
    </row>
    <row r="324" spans="2:9" x14ac:dyDescent="0.35">
      <c r="B324" s="147">
        <v>1797</v>
      </c>
      <c r="D324" s="147" t="s">
        <v>783</v>
      </c>
      <c r="E324" s="147" t="s">
        <v>145</v>
      </c>
      <c r="F324" s="147" t="s">
        <v>75</v>
      </c>
      <c r="G324" s="147" t="s">
        <v>76</v>
      </c>
      <c r="H324" s="147" t="s">
        <v>76</v>
      </c>
      <c r="I324" s="147" t="s">
        <v>56</v>
      </c>
    </row>
    <row r="325" spans="2:9" x14ac:dyDescent="0.35">
      <c r="B325" s="147">
        <v>1798</v>
      </c>
      <c r="D325" s="147" t="s">
        <v>791</v>
      </c>
      <c r="E325" s="147" t="s">
        <v>81</v>
      </c>
      <c r="F325" s="147" t="s">
        <v>138</v>
      </c>
      <c r="G325" s="147" t="s">
        <v>139</v>
      </c>
      <c r="H325" s="147" t="s">
        <v>139</v>
      </c>
      <c r="I325" s="147" t="s">
        <v>112</v>
      </c>
    </row>
    <row r="326" spans="2:9" x14ac:dyDescent="0.35">
      <c r="B326" s="147">
        <v>1799</v>
      </c>
      <c r="D326" s="147" t="s">
        <v>792</v>
      </c>
      <c r="E326" s="147" t="s">
        <v>72</v>
      </c>
      <c r="F326" s="147" t="s">
        <v>86</v>
      </c>
      <c r="G326" s="147" t="s">
        <v>85</v>
      </c>
      <c r="H326" s="147" t="s">
        <v>87</v>
      </c>
      <c r="I326" s="147" t="s">
        <v>77</v>
      </c>
    </row>
    <row r="327" spans="2:9" x14ac:dyDescent="0.35">
      <c r="B327" s="147">
        <v>1800</v>
      </c>
      <c r="D327" s="147" t="s">
        <v>793</v>
      </c>
      <c r="E327" s="147" t="s">
        <v>81</v>
      </c>
      <c r="F327" s="147" t="s">
        <v>270</v>
      </c>
      <c r="G327" s="147" t="s">
        <v>771</v>
      </c>
      <c r="H327" s="147" t="s">
        <v>771</v>
      </c>
      <c r="I327" s="147" t="s">
        <v>51</v>
      </c>
    </row>
    <row r="328" spans="2:9" x14ac:dyDescent="0.35">
      <c r="B328" s="147">
        <v>1801</v>
      </c>
      <c r="D328" s="147" t="s">
        <v>794</v>
      </c>
      <c r="E328" s="147" t="s">
        <v>45</v>
      </c>
      <c r="F328" s="147" t="s">
        <v>54</v>
      </c>
      <c r="G328" s="147" t="s">
        <v>55</v>
      </c>
      <c r="H328" s="147" t="s">
        <v>55</v>
      </c>
      <c r="I328" s="147" t="s">
        <v>56</v>
      </c>
    </row>
    <row r="329" spans="2:9" x14ac:dyDescent="0.35">
      <c r="B329" s="147">
        <v>1802</v>
      </c>
      <c r="D329" s="147" t="s">
        <v>795</v>
      </c>
      <c r="E329" s="147" t="s">
        <v>145</v>
      </c>
      <c r="F329" s="147" t="s">
        <v>157</v>
      </c>
      <c r="G329" s="147" t="s">
        <v>158</v>
      </c>
      <c r="H329" s="147" t="s">
        <v>158</v>
      </c>
      <c r="I329" s="147" t="s">
        <v>98</v>
      </c>
    </row>
    <row r="330" spans="2:9" x14ac:dyDescent="0.35">
      <c r="B330" s="147">
        <v>1803</v>
      </c>
      <c r="D330" s="147" t="s">
        <v>796</v>
      </c>
      <c r="E330" s="147" t="s">
        <v>72</v>
      </c>
      <c r="F330" s="147" t="s">
        <v>83</v>
      </c>
      <c r="G330" s="147" t="s">
        <v>69</v>
      </c>
      <c r="H330" s="147" t="s">
        <v>69</v>
      </c>
      <c r="I330" s="147" t="s">
        <v>70</v>
      </c>
    </row>
    <row r="331" spans="2:9" x14ac:dyDescent="0.35">
      <c r="B331" s="147">
        <v>1804</v>
      </c>
      <c r="D331" s="147" t="s">
        <v>867</v>
      </c>
      <c r="E331" s="147" t="s">
        <v>81</v>
      </c>
      <c r="F331" s="147" t="s">
        <v>138</v>
      </c>
      <c r="G331" s="147" t="s">
        <v>139</v>
      </c>
      <c r="H331" s="147" t="s">
        <v>139</v>
      </c>
      <c r="I331" s="147" t="s">
        <v>112</v>
      </c>
    </row>
    <row r="332" spans="2:9" x14ac:dyDescent="0.35">
      <c r="B332" s="147">
        <v>1805</v>
      </c>
      <c r="D332" s="147" t="s">
        <v>868</v>
      </c>
      <c r="E332" s="147" t="s">
        <v>45</v>
      </c>
      <c r="F332" s="147" t="s">
        <v>59</v>
      </c>
      <c r="G332" s="147" t="s">
        <v>60</v>
      </c>
      <c r="H332" s="147" t="s">
        <v>60</v>
      </c>
      <c r="I332" s="147" t="s">
        <v>47</v>
      </c>
    </row>
    <row r="333" spans="2:9" x14ac:dyDescent="0.35">
      <c r="B333" s="147">
        <v>1806</v>
      </c>
      <c r="D333" s="147" t="s">
        <v>869</v>
      </c>
      <c r="E333" s="147" t="s">
        <v>74</v>
      </c>
      <c r="F333" s="147" t="s">
        <v>125</v>
      </c>
      <c r="G333" s="147" t="s">
        <v>126</v>
      </c>
      <c r="H333" s="147" t="s">
        <v>126</v>
      </c>
      <c r="I333" s="147" t="s">
        <v>56</v>
      </c>
    </row>
  </sheetData>
  <autoFilter ref="A1:J255" xr:uid="{A4FE8847-247A-4484-8B5B-F19877FFA8B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DCBE-888C-4E1F-B166-61C08B66EE26}">
  <dimension ref="B1:AI435"/>
  <sheetViews>
    <sheetView topLeftCell="A31" workbookViewId="0">
      <selection activeCell="F23" sqref="F23"/>
    </sheetView>
  </sheetViews>
  <sheetFormatPr baseColWidth="10" defaultColWidth="9.1796875" defaultRowHeight="14.5" x14ac:dyDescent="0.35"/>
  <cols>
    <col min="1" max="1" width="0.81640625" style="1" customWidth="1"/>
    <col min="2" max="2" width="1.7265625" style="1" customWidth="1"/>
    <col min="3" max="3" width="12.1796875" style="1" customWidth="1"/>
    <col min="4" max="4" width="10.453125" style="1" customWidth="1"/>
    <col min="5" max="5" width="8.7265625" style="1" customWidth="1"/>
    <col min="6" max="6" width="7.7265625" style="1" customWidth="1"/>
    <col min="7" max="7" width="8.26953125" style="1" customWidth="1"/>
    <col min="8" max="8" width="8.54296875" style="1" customWidth="1"/>
    <col min="9" max="9" width="9.26953125" style="1" customWidth="1"/>
    <col min="10" max="10" width="8.26953125" style="1" customWidth="1"/>
    <col min="11" max="11" width="8.453125" style="1" customWidth="1"/>
    <col min="12" max="12" width="7.453125" style="1" customWidth="1"/>
    <col min="13" max="13" width="8" style="1" customWidth="1"/>
    <col min="14" max="14" width="8.54296875" style="1" customWidth="1"/>
    <col min="15" max="21" width="8.1796875" style="1" customWidth="1"/>
    <col min="22" max="22" width="8.81640625" style="1" customWidth="1"/>
    <col min="23" max="23" width="8" style="1" customWidth="1"/>
    <col min="24" max="24" width="7.453125" style="1" customWidth="1"/>
    <col min="25" max="25" width="8.7265625" style="1" customWidth="1"/>
    <col min="26" max="26" width="17.54296875" style="1" customWidth="1"/>
    <col min="27" max="27" width="1.7265625" style="1" customWidth="1"/>
    <col min="28" max="28" width="9.1796875" style="1"/>
    <col min="29" max="29" width="33.1796875" style="1" bestFit="1" customWidth="1"/>
    <col min="30" max="30" width="9.1796875" style="1"/>
    <col min="31" max="31" width="10.81640625" style="1" bestFit="1" customWidth="1"/>
    <col min="32" max="16384" width="9.1796875" style="1"/>
  </cols>
  <sheetData>
    <row r="1" spans="2:31" ht="4.5" customHeight="1" x14ac:dyDescent="0.35"/>
    <row r="2" spans="2:31" ht="3.75" customHeight="1" x14ac:dyDescent="0.35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</row>
    <row r="3" spans="2:31" x14ac:dyDescent="0.35">
      <c r="B3" s="20"/>
      <c r="AA3" s="21"/>
    </row>
    <row r="4" spans="2:31" ht="31.5" customHeight="1" x14ac:dyDescent="0.4">
      <c r="B4" s="20"/>
      <c r="C4" s="29" t="s">
        <v>0</v>
      </c>
      <c r="H4" s="30" t="s">
        <v>1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21"/>
    </row>
    <row r="5" spans="2:31" x14ac:dyDescent="0.35">
      <c r="B5" s="20"/>
      <c r="AA5" s="21"/>
    </row>
    <row r="6" spans="2:31" x14ac:dyDescent="0.35">
      <c r="B6" s="20"/>
      <c r="C6" s="32" t="s">
        <v>2</v>
      </c>
      <c r="D6" s="33">
        <v>92</v>
      </c>
      <c r="V6" s="34" t="s">
        <v>3</v>
      </c>
      <c r="W6" s="208">
        <f ca="1">TODAY()</f>
        <v>44949</v>
      </c>
      <c r="X6" s="208"/>
      <c r="Y6" s="208"/>
      <c r="Z6" s="208"/>
      <c r="AA6" s="21"/>
    </row>
    <row r="7" spans="2:31" ht="16.5" customHeight="1" x14ac:dyDescent="0.35">
      <c r="B7" s="20"/>
      <c r="C7" s="32" t="s">
        <v>4</v>
      </c>
      <c r="D7" s="35" t="s">
        <v>367</v>
      </c>
      <c r="V7" s="34" t="s">
        <v>368</v>
      </c>
      <c r="W7" s="209" t="s">
        <v>369</v>
      </c>
      <c r="X7" s="209"/>
      <c r="Y7" s="209"/>
      <c r="Z7" s="209"/>
      <c r="AA7" s="21"/>
    </row>
    <row r="8" spans="2:31" ht="12.75" customHeight="1" x14ac:dyDescent="0.35">
      <c r="B8" s="20"/>
      <c r="C8" s="32" t="s">
        <v>5</v>
      </c>
      <c r="D8" s="35" t="s">
        <v>370</v>
      </c>
      <c r="V8" s="34" t="s">
        <v>6</v>
      </c>
      <c r="W8" s="36" t="s">
        <v>7</v>
      </c>
      <c r="X8" s="6"/>
      <c r="Y8" s="6"/>
      <c r="Z8" s="6"/>
      <c r="AA8" s="21"/>
    </row>
    <row r="9" spans="2:31" x14ac:dyDescent="0.35">
      <c r="B9" s="20"/>
      <c r="C9" s="32" t="s">
        <v>8</v>
      </c>
      <c r="D9" s="35" t="s">
        <v>371</v>
      </c>
      <c r="V9" s="34" t="s">
        <v>9</v>
      </c>
      <c r="W9" s="36" t="s">
        <v>10</v>
      </c>
      <c r="X9" s="6"/>
      <c r="Y9" s="6"/>
      <c r="Z9" s="6"/>
      <c r="AA9" s="21"/>
      <c r="AE9" s="2"/>
    </row>
    <row r="10" spans="2:31" ht="12" customHeight="1" x14ac:dyDescent="0.35">
      <c r="B10" s="20"/>
      <c r="AA10" s="21"/>
    </row>
    <row r="11" spans="2:31" x14ac:dyDescent="0.35">
      <c r="B11" s="20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21"/>
    </row>
    <row r="12" spans="2:31" x14ac:dyDescent="0.35">
      <c r="B12" s="20"/>
      <c r="C12" s="38" t="s">
        <v>372</v>
      </c>
      <c r="AA12" s="21"/>
    </row>
    <row r="13" spans="2:31" ht="28.5" customHeight="1" x14ac:dyDescent="0.35">
      <c r="B13" s="20"/>
      <c r="C13" s="39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21"/>
    </row>
    <row r="14" spans="2:31" ht="28.5" customHeight="1" x14ac:dyDescent="0.35">
      <c r="B14" s="20"/>
      <c r="C14" s="39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21"/>
    </row>
    <row r="15" spans="2:31" ht="28.5" customHeight="1" x14ac:dyDescent="0.35">
      <c r="B15" s="20"/>
      <c r="C15" s="39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21"/>
    </row>
    <row r="16" spans="2:31" ht="10.5" customHeight="1" x14ac:dyDescent="0.35">
      <c r="B16" s="20"/>
      <c r="C16" s="7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21"/>
    </row>
    <row r="17" spans="2:35" ht="28.5" customHeight="1" x14ac:dyDescent="0.35">
      <c r="B17" s="20"/>
      <c r="D17" s="210">
        <v>43471</v>
      </c>
      <c r="E17" s="211"/>
      <c r="F17" s="212"/>
      <c r="G17" s="210">
        <v>43472</v>
      </c>
      <c r="H17" s="211"/>
      <c r="I17" s="212"/>
      <c r="J17" s="210">
        <v>43473</v>
      </c>
      <c r="K17" s="211"/>
      <c r="L17" s="212"/>
      <c r="M17" s="210">
        <v>43474</v>
      </c>
      <c r="N17" s="211"/>
      <c r="O17" s="212"/>
      <c r="P17" s="210">
        <v>43475</v>
      </c>
      <c r="Q17" s="211"/>
      <c r="R17" s="212"/>
      <c r="S17" s="210">
        <v>43476</v>
      </c>
      <c r="T17" s="211"/>
      <c r="U17" s="212"/>
      <c r="V17" s="210">
        <v>43477</v>
      </c>
      <c r="W17" s="211"/>
      <c r="X17" s="212"/>
      <c r="Y17" s="213" t="s">
        <v>373</v>
      </c>
      <c r="AA17" s="21"/>
    </row>
    <row r="18" spans="2:35" ht="26" x14ac:dyDescent="0.35">
      <c r="B18" s="20"/>
      <c r="D18" s="42" t="s">
        <v>374</v>
      </c>
      <c r="E18" s="43" t="s">
        <v>375</v>
      </c>
      <c r="F18" s="43" t="s">
        <v>376</v>
      </c>
      <c r="G18" s="42" t="s">
        <v>374</v>
      </c>
      <c r="H18" s="43" t="s">
        <v>375</v>
      </c>
      <c r="I18" s="43" t="s">
        <v>376</v>
      </c>
      <c r="J18" s="42" t="s">
        <v>374</v>
      </c>
      <c r="K18" s="43" t="s">
        <v>375</v>
      </c>
      <c r="L18" s="43" t="s">
        <v>376</v>
      </c>
      <c r="M18" s="42" t="s">
        <v>374</v>
      </c>
      <c r="N18" s="43" t="s">
        <v>375</v>
      </c>
      <c r="O18" s="43" t="s">
        <v>376</v>
      </c>
      <c r="P18" s="42" t="s">
        <v>374</v>
      </c>
      <c r="Q18" s="43" t="s">
        <v>375</v>
      </c>
      <c r="R18" s="43" t="s">
        <v>376</v>
      </c>
      <c r="S18" s="42" t="s">
        <v>374</v>
      </c>
      <c r="T18" s="43" t="s">
        <v>375</v>
      </c>
      <c r="U18" s="43" t="s">
        <v>376</v>
      </c>
      <c r="V18" s="42" t="s">
        <v>374</v>
      </c>
      <c r="W18" s="43" t="s">
        <v>375</v>
      </c>
      <c r="X18" s="43" t="s">
        <v>376</v>
      </c>
      <c r="Y18" s="214"/>
      <c r="AA18" s="21"/>
    </row>
    <row r="19" spans="2:35" ht="22.5" customHeight="1" x14ac:dyDescent="0.35">
      <c r="B19" s="20"/>
      <c r="D19" s="44">
        <v>0.72916666666666663</v>
      </c>
      <c r="E19" s="44">
        <v>0.77083333333333337</v>
      </c>
      <c r="F19" s="45">
        <v>4.1666666666666741E-2</v>
      </c>
      <c r="G19" s="44">
        <v>0.22916666666666666</v>
      </c>
      <c r="H19" s="44">
        <v>0.27083333333333331</v>
      </c>
      <c r="I19" s="45">
        <f>H19-G19</f>
        <v>4.1666666666666657E-2</v>
      </c>
      <c r="J19" s="44"/>
      <c r="K19" s="44"/>
      <c r="L19" s="45">
        <v>0</v>
      </c>
      <c r="M19" s="44"/>
      <c r="N19" s="44"/>
      <c r="O19" s="45">
        <v>0</v>
      </c>
      <c r="P19" s="44"/>
      <c r="Q19" s="44"/>
      <c r="R19" s="45">
        <v>0</v>
      </c>
      <c r="S19" s="44"/>
      <c r="T19" s="44"/>
      <c r="U19" s="45">
        <v>0</v>
      </c>
      <c r="V19" s="44"/>
      <c r="W19" s="44"/>
      <c r="X19" s="45">
        <v>0</v>
      </c>
      <c r="Y19" s="46">
        <v>4.1666666666666741E-2</v>
      </c>
      <c r="Z19" s="47"/>
      <c r="AA19" s="21"/>
      <c r="AC19" s="48"/>
      <c r="AD19" s="48"/>
      <c r="AE19" s="48"/>
      <c r="AF19" s="48"/>
      <c r="AG19" s="48"/>
      <c r="AH19" s="48"/>
      <c r="AI19" s="48"/>
    </row>
    <row r="20" spans="2:35" ht="22.5" customHeight="1" x14ac:dyDescent="0.35">
      <c r="B20" s="20"/>
      <c r="D20" s="44"/>
      <c r="E20" s="44"/>
      <c r="F20" s="45">
        <v>0</v>
      </c>
      <c r="G20" s="44"/>
      <c r="H20" s="44"/>
      <c r="I20" s="45">
        <v>0</v>
      </c>
      <c r="J20" s="44"/>
      <c r="K20" s="44"/>
      <c r="L20" s="45">
        <v>0</v>
      </c>
      <c r="M20" s="44"/>
      <c r="N20" s="44"/>
      <c r="O20" s="45">
        <v>0</v>
      </c>
      <c r="P20" s="44"/>
      <c r="Q20" s="44"/>
      <c r="R20" s="45">
        <v>0</v>
      </c>
      <c r="S20" s="44"/>
      <c r="T20" s="44"/>
      <c r="U20" s="45">
        <v>0</v>
      </c>
      <c r="V20" s="44"/>
      <c r="W20" s="44"/>
      <c r="X20" s="45">
        <v>0</v>
      </c>
      <c r="Y20" s="46">
        <v>0</v>
      </c>
      <c r="AA20" s="21"/>
    </row>
    <row r="21" spans="2:35" ht="22.5" customHeight="1" x14ac:dyDescent="0.35">
      <c r="B21" s="20"/>
      <c r="D21" s="44"/>
      <c r="E21" s="44"/>
      <c r="F21" s="45">
        <v>0</v>
      </c>
      <c r="G21" s="44"/>
      <c r="H21" s="44"/>
      <c r="I21" s="45">
        <v>0</v>
      </c>
      <c r="J21" s="44"/>
      <c r="K21" s="44"/>
      <c r="L21" s="45">
        <v>0</v>
      </c>
      <c r="M21" s="44"/>
      <c r="N21" s="44"/>
      <c r="O21" s="45">
        <v>0</v>
      </c>
      <c r="P21" s="44"/>
      <c r="Q21" s="44"/>
      <c r="R21" s="45">
        <v>0</v>
      </c>
      <c r="S21" s="44"/>
      <c r="T21" s="44"/>
      <c r="U21" s="45">
        <v>0</v>
      </c>
      <c r="V21" s="44"/>
      <c r="W21" s="44"/>
      <c r="X21" s="45">
        <v>0</v>
      </c>
      <c r="Y21" s="46">
        <v>0</v>
      </c>
      <c r="AA21" s="21"/>
    </row>
    <row r="22" spans="2:35" ht="22.5" customHeight="1" x14ac:dyDescent="0.35">
      <c r="B22" s="20"/>
      <c r="D22" s="44"/>
      <c r="E22" s="44"/>
      <c r="F22" s="45">
        <v>0</v>
      </c>
      <c r="G22" s="44"/>
      <c r="H22" s="44"/>
      <c r="I22" s="45">
        <v>0</v>
      </c>
      <c r="J22" s="44"/>
      <c r="K22" s="44"/>
      <c r="L22" s="45">
        <v>0</v>
      </c>
      <c r="M22" s="44"/>
      <c r="N22" s="44"/>
      <c r="O22" s="45">
        <v>0</v>
      </c>
      <c r="P22" s="44"/>
      <c r="Q22" s="44"/>
      <c r="R22" s="45">
        <v>0</v>
      </c>
      <c r="S22" s="44"/>
      <c r="T22" s="44"/>
      <c r="U22" s="45">
        <v>0</v>
      </c>
      <c r="V22" s="44"/>
      <c r="W22" s="44"/>
      <c r="X22" s="45">
        <v>0</v>
      </c>
      <c r="Y22" s="46">
        <v>0</v>
      </c>
      <c r="AA22" s="21"/>
    </row>
    <row r="23" spans="2:35" ht="22.5" customHeight="1" x14ac:dyDescent="0.35">
      <c r="B23" s="20"/>
      <c r="C23" s="34" t="s">
        <v>377</v>
      </c>
      <c r="D23" s="49"/>
      <c r="E23" s="50"/>
      <c r="F23" s="51">
        <v>1</v>
      </c>
      <c r="G23" s="49"/>
      <c r="H23" s="52"/>
      <c r="I23" s="51">
        <v>0</v>
      </c>
      <c r="J23" s="49"/>
      <c r="K23" s="52"/>
      <c r="L23" s="51">
        <v>0</v>
      </c>
      <c r="M23" s="49"/>
      <c r="N23" s="52"/>
      <c r="O23" s="51">
        <v>0</v>
      </c>
      <c r="P23" s="49"/>
      <c r="Q23" s="52"/>
      <c r="R23" s="51">
        <v>0</v>
      </c>
      <c r="S23" s="49"/>
      <c r="T23" s="52"/>
      <c r="U23" s="51">
        <v>0</v>
      </c>
      <c r="V23" s="49"/>
      <c r="W23" s="52"/>
      <c r="X23" s="51">
        <v>0</v>
      </c>
      <c r="Y23" s="51">
        <v>1</v>
      </c>
      <c r="Z23" s="1" t="s">
        <v>378</v>
      </c>
      <c r="AA23" s="21"/>
    </row>
    <row r="24" spans="2:35" ht="14.25" customHeight="1" x14ac:dyDescent="0.35">
      <c r="B24" s="20"/>
      <c r="D24" s="53" t="s">
        <v>379</v>
      </c>
      <c r="AA24" s="21"/>
    </row>
    <row r="25" spans="2:35" x14ac:dyDescent="0.35">
      <c r="B25" s="20"/>
      <c r="AA25" s="21"/>
    </row>
    <row r="26" spans="2:35" ht="21" customHeight="1" x14ac:dyDescent="0.35">
      <c r="B26" s="20"/>
      <c r="D26" s="54" t="s">
        <v>11</v>
      </c>
      <c r="I26" s="55" t="s">
        <v>12</v>
      </c>
      <c r="J26" s="3"/>
      <c r="N26" s="55" t="s">
        <v>13</v>
      </c>
      <c r="O26" s="3"/>
      <c r="S26" s="55" t="s">
        <v>380</v>
      </c>
      <c r="T26" s="4"/>
      <c r="U26" s="4"/>
      <c r="V26" s="4"/>
      <c r="W26" s="4"/>
      <c r="AA26" s="21"/>
    </row>
    <row r="27" spans="2:35" x14ac:dyDescent="0.35">
      <c r="B27" s="20"/>
      <c r="N27" s="56" t="s">
        <v>34</v>
      </c>
      <c r="T27" s="53" t="s">
        <v>35</v>
      </c>
      <c r="AA27" s="21"/>
    </row>
    <row r="28" spans="2:35" x14ac:dyDescent="0.35">
      <c r="B28" s="20"/>
      <c r="N28" s="56"/>
      <c r="AA28" s="21"/>
    </row>
    <row r="29" spans="2:35" ht="17.25" customHeight="1" x14ac:dyDescent="0.35">
      <c r="B29" s="20"/>
      <c r="D29" s="57" t="s">
        <v>381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AA29" s="21"/>
    </row>
    <row r="30" spans="2:35" ht="12.75" customHeight="1" x14ac:dyDescent="0.35">
      <c r="B30" s="20"/>
      <c r="D30" s="215" t="s">
        <v>382</v>
      </c>
      <c r="E30" s="216"/>
      <c r="F30" s="217"/>
      <c r="G30" s="215" t="s">
        <v>383</v>
      </c>
      <c r="H30" s="216"/>
      <c r="I30" s="217"/>
      <c r="J30" s="215" t="s">
        <v>384</v>
      </c>
      <c r="K30" s="216"/>
      <c r="L30" s="217"/>
      <c r="M30" s="215" t="s">
        <v>385</v>
      </c>
      <c r="N30" s="216"/>
      <c r="O30" s="217"/>
      <c r="P30" s="215" t="s">
        <v>386</v>
      </c>
      <c r="Q30" s="216"/>
      <c r="R30" s="217"/>
      <c r="S30" s="215" t="s">
        <v>387</v>
      </c>
      <c r="T30" s="216"/>
      <c r="U30" s="217"/>
      <c r="V30" s="215" t="s">
        <v>388</v>
      </c>
      <c r="W30" s="216"/>
      <c r="X30" s="217"/>
      <c r="AA30" s="21"/>
    </row>
    <row r="31" spans="2:35" x14ac:dyDescent="0.35">
      <c r="B31" s="20"/>
      <c r="D31" s="58" t="s">
        <v>389</v>
      </c>
      <c r="E31" s="59"/>
      <c r="F31" s="60" t="s">
        <v>390</v>
      </c>
      <c r="G31" s="58" t="s">
        <v>389</v>
      </c>
      <c r="H31" s="59"/>
      <c r="I31" s="60" t="s">
        <v>390</v>
      </c>
      <c r="J31" s="58" t="s">
        <v>389</v>
      </c>
      <c r="K31" s="59"/>
      <c r="L31" s="60" t="s">
        <v>390</v>
      </c>
      <c r="M31" s="58" t="s">
        <v>389</v>
      </c>
      <c r="N31" s="59"/>
      <c r="O31" s="60" t="s">
        <v>390</v>
      </c>
      <c r="P31" s="58" t="s">
        <v>389</v>
      </c>
      <c r="Q31" s="59"/>
      <c r="R31" s="60" t="s">
        <v>390</v>
      </c>
      <c r="S31" s="58" t="s">
        <v>389</v>
      </c>
      <c r="T31" s="59"/>
      <c r="U31" s="60" t="s">
        <v>390</v>
      </c>
      <c r="V31" s="58" t="s">
        <v>389</v>
      </c>
      <c r="W31" s="59"/>
      <c r="X31" s="60" t="s">
        <v>390</v>
      </c>
      <c r="AA31" s="21"/>
    </row>
    <row r="32" spans="2:35" ht="22.5" customHeight="1" x14ac:dyDescent="0.35">
      <c r="B32" s="20"/>
      <c r="D32" s="61"/>
      <c r="E32" s="62"/>
      <c r="F32" s="63"/>
      <c r="G32" s="61"/>
      <c r="H32" s="62"/>
      <c r="I32" s="63"/>
      <c r="J32" s="61"/>
      <c r="K32" s="62"/>
      <c r="L32" s="63"/>
      <c r="M32" s="61"/>
      <c r="N32" s="62"/>
      <c r="O32" s="63"/>
      <c r="P32" s="61"/>
      <c r="Q32" s="62"/>
      <c r="R32" s="63"/>
      <c r="S32" s="61"/>
      <c r="T32" s="62"/>
      <c r="U32" s="63"/>
      <c r="V32" s="61"/>
      <c r="W32" s="62"/>
      <c r="X32" s="63"/>
      <c r="AA32" s="21"/>
    </row>
    <row r="33" spans="2:27" ht="22.5" customHeight="1" x14ac:dyDescent="0.35">
      <c r="B33" s="20"/>
      <c r="D33" s="61"/>
      <c r="E33" s="62"/>
      <c r="F33" s="63"/>
      <c r="G33" s="61"/>
      <c r="H33" s="62"/>
      <c r="I33" s="63"/>
      <c r="J33" s="61"/>
      <c r="K33" s="62"/>
      <c r="L33" s="63"/>
      <c r="M33" s="61"/>
      <c r="N33" s="62"/>
      <c r="O33" s="63"/>
      <c r="P33" s="61"/>
      <c r="Q33" s="62"/>
      <c r="R33" s="63"/>
      <c r="S33" s="61"/>
      <c r="T33" s="62"/>
      <c r="U33" s="63"/>
      <c r="V33" s="61"/>
      <c r="W33" s="62"/>
      <c r="X33" s="63"/>
      <c r="AA33" s="21"/>
    </row>
    <row r="34" spans="2:27" ht="22.5" customHeight="1" x14ac:dyDescent="0.35">
      <c r="B34" s="20"/>
      <c r="D34" s="61"/>
      <c r="E34" s="62"/>
      <c r="F34" s="63"/>
      <c r="G34" s="61"/>
      <c r="H34" s="62"/>
      <c r="I34" s="63"/>
      <c r="J34" s="61"/>
      <c r="K34" s="62"/>
      <c r="L34" s="63"/>
      <c r="M34" s="61"/>
      <c r="N34" s="62"/>
      <c r="O34" s="63"/>
      <c r="P34" s="61"/>
      <c r="Q34" s="62"/>
      <c r="R34" s="63"/>
      <c r="S34" s="61"/>
      <c r="T34" s="62"/>
      <c r="U34" s="63"/>
      <c r="V34" s="61"/>
      <c r="W34" s="62"/>
      <c r="X34" s="63"/>
      <c r="AA34" s="21"/>
    </row>
    <row r="35" spans="2:27" ht="22.5" customHeight="1" x14ac:dyDescent="0.35">
      <c r="B35" s="20"/>
      <c r="D35" s="61"/>
      <c r="E35" s="62"/>
      <c r="F35" s="63"/>
      <c r="G35" s="61"/>
      <c r="H35" s="62"/>
      <c r="I35" s="63"/>
      <c r="J35" s="61"/>
      <c r="K35" s="62"/>
      <c r="L35" s="63"/>
      <c r="M35" s="61"/>
      <c r="N35" s="62"/>
      <c r="O35" s="63"/>
      <c r="P35" s="61"/>
      <c r="Q35" s="62"/>
      <c r="R35" s="63"/>
      <c r="S35" s="61"/>
      <c r="T35" s="62"/>
      <c r="U35" s="63"/>
      <c r="V35" s="61"/>
      <c r="W35" s="62"/>
      <c r="X35" s="63"/>
      <c r="AA35" s="21"/>
    </row>
    <row r="36" spans="2:27" ht="22.5" customHeight="1" x14ac:dyDescent="0.35">
      <c r="B36" s="20"/>
      <c r="D36" s="61"/>
      <c r="E36" s="62"/>
      <c r="F36" s="63"/>
      <c r="G36" s="61"/>
      <c r="H36" s="62"/>
      <c r="I36" s="63"/>
      <c r="J36" s="61"/>
      <c r="K36" s="62"/>
      <c r="L36" s="63"/>
      <c r="M36" s="61"/>
      <c r="N36" s="62"/>
      <c r="O36" s="63"/>
      <c r="P36" s="61"/>
      <c r="Q36" s="62"/>
      <c r="R36" s="63"/>
      <c r="S36" s="61"/>
      <c r="T36" s="62"/>
      <c r="U36" s="63"/>
      <c r="V36" s="61"/>
      <c r="W36" s="62"/>
      <c r="X36" s="63"/>
      <c r="AA36" s="21"/>
    </row>
    <row r="37" spans="2:27" ht="6.75" customHeight="1" x14ac:dyDescent="0.35">
      <c r="B37" s="20"/>
      <c r="AA37" s="21"/>
    </row>
    <row r="38" spans="2:27" x14ac:dyDescent="0.35">
      <c r="B38" s="20"/>
      <c r="D38" s="64" t="s">
        <v>391</v>
      </c>
      <c r="E38" s="65"/>
      <c r="F38" s="66" t="s">
        <v>392</v>
      </c>
      <c r="G38" s="67"/>
      <c r="H38" s="67"/>
      <c r="I38" s="65"/>
      <c r="J38" s="68" t="s">
        <v>393</v>
      </c>
      <c r="L38" s="69" t="s">
        <v>394</v>
      </c>
      <c r="M38" s="70"/>
      <c r="N38" s="70"/>
      <c r="O38" s="70"/>
      <c r="P38" s="70"/>
      <c r="Q38" s="70"/>
      <c r="S38" s="71" t="s">
        <v>395</v>
      </c>
      <c r="T38" s="37"/>
      <c r="U38" s="37"/>
      <c r="V38" s="37"/>
      <c r="W38" s="37"/>
      <c r="X38" s="37"/>
      <c r="AA38" s="21"/>
    </row>
    <row r="39" spans="2:27" ht="21" customHeight="1" x14ac:dyDescent="0.35">
      <c r="B39" s="20"/>
      <c r="D39" s="72"/>
      <c r="E39" s="63"/>
      <c r="F39" s="72"/>
      <c r="G39" s="73"/>
      <c r="H39" s="73"/>
      <c r="I39" s="63"/>
      <c r="J39" s="74"/>
      <c r="M39" s="34" t="s">
        <v>396</v>
      </c>
      <c r="N39" s="75"/>
      <c r="O39" s="75"/>
      <c r="P39" s="75"/>
      <c r="Q39" s="75"/>
      <c r="AA39" s="21"/>
    </row>
    <row r="40" spans="2:27" ht="21" customHeight="1" x14ac:dyDescent="0.35">
      <c r="B40" s="20"/>
      <c r="D40" s="72"/>
      <c r="E40" s="63"/>
      <c r="F40" s="72"/>
      <c r="G40" s="73"/>
      <c r="H40" s="73"/>
      <c r="I40" s="63"/>
      <c r="J40" s="74"/>
      <c r="M40" s="34" t="s">
        <v>397</v>
      </c>
      <c r="N40" s="5"/>
      <c r="O40" s="5"/>
      <c r="P40" s="5"/>
      <c r="Q40" s="73"/>
      <c r="W40" s="55" t="s">
        <v>398</v>
      </c>
      <c r="X40" s="74"/>
      <c r="AA40" s="21"/>
    </row>
    <row r="41" spans="2:27" ht="21" customHeight="1" x14ac:dyDescent="0.35">
      <c r="B41" s="20"/>
      <c r="D41" s="72"/>
      <c r="E41" s="63"/>
      <c r="F41" s="72"/>
      <c r="G41" s="73"/>
      <c r="H41" s="73"/>
      <c r="I41" s="63"/>
      <c r="J41" s="74"/>
      <c r="M41" s="34" t="s">
        <v>399</v>
      </c>
      <c r="N41" s="73"/>
      <c r="O41" s="73"/>
      <c r="P41" s="73"/>
      <c r="Q41" s="73"/>
      <c r="AA41" s="21"/>
    </row>
    <row r="42" spans="2:27" ht="21" customHeight="1" x14ac:dyDescent="0.35">
      <c r="B42" s="20"/>
      <c r="D42" s="72"/>
      <c r="E42" s="63"/>
      <c r="F42" s="72"/>
      <c r="G42" s="73"/>
      <c r="H42" s="73"/>
      <c r="I42" s="63"/>
      <c r="J42" s="74"/>
      <c r="M42" s="34" t="s">
        <v>400</v>
      </c>
      <c r="N42" s="75"/>
      <c r="O42" s="75"/>
      <c r="P42" s="75"/>
      <c r="Q42" s="73"/>
      <c r="W42" s="55" t="s">
        <v>401</v>
      </c>
      <c r="X42" s="74"/>
      <c r="AA42" s="21"/>
    </row>
    <row r="43" spans="2:27" ht="21" customHeight="1" x14ac:dyDescent="0.35">
      <c r="B43" s="20"/>
      <c r="D43" s="72"/>
      <c r="E43" s="63"/>
      <c r="F43" s="72"/>
      <c r="G43" s="73"/>
      <c r="H43" s="73"/>
      <c r="I43" s="63"/>
      <c r="J43" s="76"/>
      <c r="AA43" s="21"/>
    </row>
    <row r="44" spans="2:27" x14ac:dyDescent="0.35">
      <c r="B44" s="20"/>
      <c r="AA44" s="21"/>
    </row>
    <row r="45" spans="2:27" x14ac:dyDescent="0.35">
      <c r="B45" s="20"/>
      <c r="C45" s="77" t="s">
        <v>402</v>
      </c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21"/>
    </row>
    <row r="46" spans="2:27" x14ac:dyDescent="0.35">
      <c r="B46" s="20"/>
      <c r="AA46" s="21"/>
    </row>
    <row r="47" spans="2:27" x14ac:dyDescent="0.35">
      <c r="B47" s="20"/>
      <c r="AA47" s="21"/>
    </row>
    <row r="48" spans="2:27" x14ac:dyDescent="0.35">
      <c r="B48" s="20"/>
      <c r="AA48" s="21"/>
    </row>
    <row r="49" spans="2:27" x14ac:dyDescent="0.35">
      <c r="B49" s="20"/>
      <c r="AA49" s="21"/>
    </row>
    <row r="50" spans="2:27" ht="27" customHeight="1" x14ac:dyDescent="0.35">
      <c r="B50" s="20"/>
      <c r="C50" s="4"/>
      <c r="D50" s="4"/>
      <c r="E50" s="4"/>
      <c r="F50" s="4"/>
      <c r="G50" s="5"/>
      <c r="H50" s="4"/>
      <c r="I50" s="4"/>
      <c r="J50" s="4"/>
      <c r="K50" s="4"/>
      <c r="L50" s="5"/>
      <c r="M50" s="4"/>
      <c r="N50" s="4"/>
      <c r="O50" s="4"/>
      <c r="P50" s="4"/>
      <c r="Q50" s="5"/>
      <c r="R50" s="4"/>
      <c r="S50" s="4"/>
      <c r="T50" s="4"/>
      <c r="U50" s="4"/>
      <c r="V50" s="5"/>
      <c r="W50" s="4"/>
      <c r="X50" s="4"/>
      <c r="Y50" s="4"/>
      <c r="Z50" s="4"/>
      <c r="AA50" s="21"/>
    </row>
    <row r="51" spans="2:27" ht="12.75" customHeight="1" x14ac:dyDescent="0.35">
      <c r="B51" s="20"/>
      <c r="C51" s="79" t="s">
        <v>14</v>
      </c>
      <c r="D51" s="79"/>
      <c r="E51" s="79"/>
      <c r="F51" s="79"/>
      <c r="H51" s="79" t="s">
        <v>14</v>
      </c>
      <c r="I51" s="79"/>
      <c r="J51" s="79"/>
      <c r="K51" s="79"/>
      <c r="M51" s="79" t="s">
        <v>14</v>
      </c>
      <c r="N51" s="79"/>
      <c r="O51" s="79"/>
      <c r="P51" s="79"/>
      <c r="R51" s="79" t="s">
        <v>14</v>
      </c>
      <c r="S51" s="79"/>
      <c r="T51" s="79"/>
      <c r="U51" s="79"/>
      <c r="W51" s="79" t="s">
        <v>14</v>
      </c>
      <c r="X51" s="79"/>
      <c r="Y51" s="79"/>
      <c r="Z51" s="79"/>
      <c r="AA51" s="21"/>
    </row>
    <row r="52" spans="2:27" x14ac:dyDescent="0.35">
      <c r="B52" s="20"/>
      <c r="C52" s="79" t="s">
        <v>15</v>
      </c>
      <c r="D52" s="79"/>
      <c r="E52" s="79"/>
      <c r="F52" s="79"/>
      <c r="H52" s="79" t="s">
        <v>16</v>
      </c>
      <c r="I52" s="79"/>
      <c r="J52" s="79"/>
      <c r="K52" s="79"/>
      <c r="M52" s="79" t="s">
        <v>17</v>
      </c>
      <c r="N52" s="79"/>
      <c r="O52" s="79"/>
      <c r="P52" s="79"/>
      <c r="R52" s="79" t="s">
        <v>403</v>
      </c>
      <c r="S52" s="79"/>
      <c r="T52" s="79"/>
      <c r="U52" s="79"/>
      <c r="W52" s="79" t="s">
        <v>18</v>
      </c>
      <c r="X52" s="79"/>
      <c r="Y52" s="79"/>
      <c r="Z52" s="79"/>
      <c r="AA52" s="21"/>
    </row>
    <row r="53" spans="2:27" x14ac:dyDescent="0.35">
      <c r="B53" s="20"/>
      <c r="C53" s="79" t="s">
        <v>19</v>
      </c>
      <c r="D53" s="79"/>
      <c r="E53" s="79"/>
      <c r="F53" s="79"/>
      <c r="H53" s="79" t="s">
        <v>20</v>
      </c>
      <c r="I53" s="79"/>
      <c r="J53" s="79"/>
      <c r="K53" s="79"/>
      <c r="M53" s="79" t="s">
        <v>21</v>
      </c>
      <c r="N53" s="79"/>
      <c r="O53" s="79"/>
      <c r="P53" s="79"/>
      <c r="R53" s="79" t="s">
        <v>404</v>
      </c>
      <c r="S53" s="79"/>
      <c r="T53" s="79"/>
      <c r="U53" s="79"/>
      <c r="W53" s="79" t="s">
        <v>22</v>
      </c>
      <c r="X53" s="79"/>
      <c r="Y53" s="79"/>
      <c r="Z53" s="79"/>
      <c r="AA53" s="21"/>
    </row>
    <row r="54" spans="2:27" x14ac:dyDescent="0.35">
      <c r="B54" s="2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23"/>
    </row>
    <row r="58" spans="2:27" ht="15.75" customHeight="1" x14ac:dyDescent="0.35"/>
    <row r="64" spans="2:27" hidden="1" x14ac:dyDescent="0.35"/>
    <row r="65" spans="3:29" hidden="1" x14ac:dyDescent="0.35">
      <c r="O65" s="34" t="s">
        <v>368</v>
      </c>
      <c r="R65" s="1">
        <v>2</v>
      </c>
    </row>
    <row r="66" spans="3:29" hidden="1" x14ac:dyDescent="0.35"/>
    <row r="67" spans="3:29" hidden="1" x14ac:dyDescent="0.35">
      <c r="C67" s="80"/>
      <c r="K67" s="80"/>
    </row>
    <row r="68" spans="3:29" hidden="1" x14ac:dyDescent="0.35">
      <c r="C68" s="81" t="s">
        <v>405</v>
      </c>
      <c r="D68" s="82"/>
      <c r="E68" s="82"/>
      <c r="F68" s="82"/>
      <c r="K68" s="1" t="s">
        <v>405</v>
      </c>
    </row>
    <row r="69" spans="3:29" hidden="1" x14ac:dyDescent="0.35">
      <c r="C69" s="83">
        <v>40</v>
      </c>
      <c r="D69" s="84" t="s">
        <v>406</v>
      </c>
      <c r="E69" s="84" t="s">
        <v>407</v>
      </c>
      <c r="F69" s="84" t="s">
        <v>408</v>
      </c>
      <c r="J69" s="1">
        <v>1</v>
      </c>
      <c r="K69" s="1" t="s">
        <v>409</v>
      </c>
      <c r="L69" s="1">
        <v>1</v>
      </c>
      <c r="O69" s="85" t="s">
        <v>410</v>
      </c>
      <c r="P69" s="85"/>
      <c r="Q69" s="85">
        <v>43466</v>
      </c>
      <c r="R69" s="85">
        <v>43467</v>
      </c>
      <c r="S69" s="85">
        <v>43468</v>
      </c>
      <c r="T69" s="85">
        <v>43469</v>
      </c>
      <c r="U69" s="85">
        <v>43470</v>
      </c>
      <c r="AC69" s="86">
        <v>43101</v>
      </c>
    </row>
    <row r="70" spans="3:29" hidden="1" x14ac:dyDescent="0.35">
      <c r="C70" s="83">
        <v>88</v>
      </c>
      <c r="D70" s="84" t="s">
        <v>411</v>
      </c>
      <c r="E70" s="84" t="s">
        <v>412</v>
      </c>
      <c r="F70" s="84" t="s">
        <v>413</v>
      </c>
      <c r="J70" s="1">
        <v>2</v>
      </c>
      <c r="K70" s="1" t="s">
        <v>369</v>
      </c>
      <c r="L70" s="1">
        <v>2</v>
      </c>
      <c r="O70" s="85">
        <v>43471</v>
      </c>
      <c r="P70" s="85">
        <v>43472</v>
      </c>
      <c r="Q70" s="85">
        <v>43473</v>
      </c>
      <c r="R70" s="85">
        <v>43474</v>
      </c>
      <c r="S70" s="85">
        <v>43475</v>
      </c>
      <c r="T70" s="85">
        <v>43476</v>
      </c>
      <c r="U70" s="85">
        <v>43477</v>
      </c>
      <c r="AC70" s="86">
        <v>43102</v>
      </c>
    </row>
    <row r="71" spans="3:29" hidden="1" x14ac:dyDescent="0.35">
      <c r="C71" s="83">
        <v>92</v>
      </c>
      <c r="D71" s="84" t="s">
        <v>367</v>
      </c>
      <c r="E71" s="84" t="s">
        <v>371</v>
      </c>
      <c r="F71" s="84" t="s">
        <v>370</v>
      </c>
      <c r="J71" s="1">
        <v>3</v>
      </c>
      <c r="K71" s="1" t="s">
        <v>414</v>
      </c>
      <c r="L71" s="1">
        <v>3</v>
      </c>
      <c r="O71" s="85">
        <v>43478</v>
      </c>
      <c r="P71" s="85">
        <v>43479</v>
      </c>
      <c r="Q71" s="85">
        <v>43480</v>
      </c>
      <c r="R71" s="85">
        <v>43481</v>
      </c>
      <c r="S71" s="85">
        <v>43482</v>
      </c>
      <c r="T71" s="85">
        <v>43483</v>
      </c>
      <c r="U71" s="85">
        <v>43484</v>
      </c>
      <c r="X71" s="1" t="s">
        <v>415</v>
      </c>
      <c r="Z71" s="1" t="s">
        <v>415</v>
      </c>
      <c r="AC71" s="86">
        <v>43103</v>
      </c>
    </row>
    <row r="72" spans="3:29" hidden="1" x14ac:dyDescent="0.35">
      <c r="C72" s="83">
        <v>105</v>
      </c>
      <c r="D72" s="84" t="s">
        <v>416</v>
      </c>
      <c r="E72" s="84" t="s">
        <v>417</v>
      </c>
      <c r="F72" s="84" t="s">
        <v>418</v>
      </c>
      <c r="J72" s="1">
        <v>4</v>
      </c>
      <c r="K72" s="1" t="s">
        <v>419</v>
      </c>
      <c r="L72" s="1">
        <v>4</v>
      </c>
      <c r="O72" s="85">
        <v>43485</v>
      </c>
      <c r="P72" s="85">
        <v>43486</v>
      </c>
      <c r="Q72" s="85">
        <v>43487</v>
      </c>
      <c r="R72" s="85">
        <v>43488</v>
      </c>
      <c r="S72" s="85">
        <v>43489</v>
      </c>
      <c r="T72" s="85">
        <v>43490</v>
      </c>
      <c r="U72" s="85">
        <v>43491</v>
      </c>
      <c r="AC72" s="86">
        <v>43104</v>
      </c>
    </row>
    <row r="73" spans="3:29" hidden="1" x14ac:dyDescent="0.35">
      <c r="C73" s="83">
        <v>372</v>
      </c>
      <c r="D73" s="84" t="s">
        <v>420</v>
      </c>
      <c r="E73" s="84" t="s">
        <v>421</v>
      </c>
      <c r="F73" s="84" t="s">
        <v>422</v>
      </c>
      <c r="J73" s="1">
        <v>5</v>
      </c>
      <c r="K73" s="1" t="s">
        <v>423</v>
      </c>
      <c r="L73" s="1">
        <v>5</v>
      </c>
      <c r="O73" s="85">
        <v>43492</v>
      </c>
      <c r="P73" s="85">
        <v>43493</v>
      </c>
      <c r="Q73" s="85">
        <v>43494</v>
      </c>
      <c r="R73" s="85">
        <v>43495</v>
      </c>
      <c r="S73" s="85">
        <v>43496</v>
      </c>
      <c r="T73" s="85">
        <v>43497</v>
      </c>
      <c r="U73" s="85">
        <v>43498</v>
      </c>
      <c r="AC73" s="86">
        <v>43105</v>
      </c>
    </row>
    <row r="74" spans="3:29" hidden="1" x14ac:dyDescent="0.35">
      <c r="C74" s="83">
        <v>410</v>
      </c>
      <c r="D74" s="84" t="s">
        <v>424</v>
      </c>
      <c r="E74" s="84" t="s">
        <v>412</v>
      </c>
      <c r="F74" s="84" t="s">
        <v>425</v>
      </c>
      <c r="J74" s="1">
        <v>6</v>
      </c>
      <c r="K74" s="1" t="s">
        <v>426</v>
      </c>
      <c r="L74" s="1">
        <v>6</v>
      </c>
      <c r="O74" s="85">
        <v>43499</v>
      </c>
      <c r="P74" s="85">
        <v>43500</v>
      </c>
      <c r="Q74" s="85">
        <v>43501</v>
      </c>
      <c r="R74" s="85">
        <v>43502</v>
      </c>
      <c r="S74" s="85">
        <v>43503</v>
      </c>
      <c r="T74" s="85">
        <v>43504</v>
      </c>
      <c r="U74" s="85">
        <v>43505</v>
      </c>
      <c r="AC74" s="86">
        <v>43106</v>
      </c>
    </row>
    <row r="75" spans="3:29" hidden="1" x14ac:dyDescent="0.35">
      <c r="C75" s="83">
        <v>423</v>
      </c>
      <c r="D75" s="84" t="s">
        <v>427</v>
      </c>
      <c r="E75" s="84" t="s">
        <v>428</v>
      </c>
      <c r="F75" s="84" t="s">
        <v>429</v>
      </c>
      <c r="J75" s="1">
        <v>7</v>
      </c>
      <c r="K75" s="1" t="s">
        <v>430</v>
      </c>
      <c r="L75" s="1">
        <v>7</v>
      </c>
      <c r="O75" s="85">
        <v>43506</v>
      </c>
      <c r="P75" s="85">
        <v>43507</v>
      </c>
      <c r="Q75" s="85">
        <v>43508</v>
      </c>
      <c r="R75" s="85">
        <v>43509</v>
      </c>
      <c r="S75" s="85">
        <v>43510</v>
      </c>
      <c r="T75" s="85">
        <v>43511</v>
      </c>
      <c r="U75" s="85">
        <v>43512</v>
      </c>
      <c r="AC75" s="86">
        <v>43107</v>
      </c>
    </row>
    <row r="76" spans="3:29" hidden="1" x14ac:dyDescent="0.35">
      <c r="C76" s="83">
        <v>434</v>
      </c>
      <c r="D76" s="84" t="s">
        <v>431</v>
      </c>
      <c r="E76" s="84" t="s">
        <v>428</v>
      </c>
      <c r="F76" s="84" t="s">
        <v>432</v>
      </c>
      <c r="J76" s="1">
        <v>8</v>
      </c>
      <c r="K76" s="1" t="s">
        <v>433</v>
      </c>
      <c r="L76" s="1">
        <v>8</v>
      </c>
      <c r="O76" s="85">
        <v>43513</v>
      </c>
      <c r="P76" s="85">
        <v>43514</v>
      </c>
      <c r="Q76" s="85">
        <v>43515</v>
      </c>
      <c r="R76" s="85">
        <v>43516</v>
      </c>
      <c r="S76" s="85">
        <v>43517</v>
      </c>
      <c r="T76" s="85">
        <v>43518</v>
      </c>
      <c r="U76" s="85">
        <v>43519</v>
      </c>
      <c r="AC76" s="86">
        <v>43108</v>
      </c>
    </row>
    <row r="77" spans="3:29" hidden="1" x14ac:dyDescent="0.35">
      <c r="C77" s="83">
        <v>453</v>
      </c>
      <c r="D77" s="84" t="s">
        <v>434</v>
      </c>
      <c r="E77" s="84" t="s">
        <v>435</v>
      </c>
      <c r="F77" s="84" t="s">
        <v>370</v>
      </c>
      <c r="J77" s="1">
        <v>9</v>
      </c>
      <c r="K77" s="1" t="s">
        <v>436</v>
      </c>
      <c r="L77" s="1">
        <v>9</v>
      </c>
      <c r="O77" s="85">
        <v>43520</v>
      </c>
      <c r="P77" s="85">
        <v>43521</v>
      </c>
      <c r="Q77" s="85">
        <v>43522</v>
      </c>
      <c r="R77" s="85">
        <v>43523</v>
      </c>
      <c r="S77" s="85">
        <v>43524</v>
      </c>
      <c r="T77" s="85">
        <v>43525</v>
      </c>
      <c r="U77" s="85">
        <v>43526</v>
      </c>
      <c r="AC77" s="86">
        <v>43109</v>
      </c>
    </row>
    <row r="78" spans="3:29" hidden="1" x14ac:dyDescent="0.35">
      <c r="C78" s="83">
        <v>507</v>
      </c>
      <c r="D78" s="84" t="s">
        <v>437</v>
      </c>
      <c r="E78" s="84" t="s">
        <v>428</v>
      </c>
      <c r="F78" s="84" t="s">
        <v>370</v>
      </c>
      <c r="J78" s="1">
        <v>10</v>
      </c>
      <c r="K78" s="1" t="s">
        <v>438</v>
      </c>
      <c r="L78" s="1">
        <v>10</v>
      </c>
      <c r="O78" s="85">
        <v>43527</v>
      </c>
      <c r="P78" s="85">
        <v>43528</v>
      </c>
      <c r="Q78" s="85">
        <v>43529</v>
      </c>
      <c r="R78" s="85">
        <v>43530</v>
      </c>
      <c r="S78" s="85">
        <v>43531</v>
      </c>
      <c r="T78" s="85">
        <v>43532</v>
      </c>
      <c r="U78" s="85">
        <v>43533</v>
      </c>
      <c r="AC78" s="86">
        <v>43110</v>
      </c>
    </row>
    <row r="79" spans="3:29" hidden="1" x14ac:dyDescent="0.35">
      <c r="C79" s="83">
        <v>517</v>
      </c>
      <c r="D79" s="84" t="s">
        <v>439</v>
      </c>
      <c r="E79" s="84" t="s">
        <v>435</v>
      </c>
      <c r="F79" s="84" t="s">
        <v>370</v>
      </c>
      <c r="J79" s="1">
        <v>11</v>
      </c>
      <c r="K79" s="1" t="s">
        <v>440</v>
      </c>
      <c r="L79" s="1">
        <v>11</v>
      </c>
      <c r="O79" s="85">
        <v>43534</v>
      </c>
      <c r="P79" s="85">
        <v>43535</v>
      </c>
      <c r="Q79" s="85">
        <v>43536</v>
      </c>
      <c r="R79" s="85">
        <v>43537</v>
      </c>
      <c r="S79" s="85">
        <v>43538</v>
      </c>
      <c r="T79" s="85">
        <v>43539</v>
      </c>
      <c r="U79" s="85">
        <v>43540</v>
      </c>
      <c r="AC79" s="86">
        <v>43111</v>
      </c>
    </row>
    <row r="80" spans="3:29" hidden="1" x14ac:dyDescent="0.35">
      <c r="C80" s="83">
        <v>541</v>
      </c>
      <c r="D80" s="84" t="s">
        <v>441</v>
      </c>
      <c r="E80" s="84" t="s">
        <v>435</v>
      </c>
      <c r="F80" s="84" t="s">
        <v>442</v>
      </c>
      <c r="J80" s="1">
        <v>12</v>
      </c>
      <c r="K80" s="1" t="s">
        <v>443</v>
      </c>
      <c r="L80" s="1">
        <v>12</v>
      </c>
      <c r="O80" s="85">
        <v>43541</v>
      </c>
      <c r="P80" s="85">
        <v>43542</v>
      </c>
      <c r="Q80" s="85">
        <v>43543</v>
      </c>
      <c r="R80" s="85">
        <v>43544</v>
      </c>
      <c r="S80" s="85">
        <v>43545</v>
      </c>
      <c r="T80" s="85">
        <v>43546</v>
      </c>
      <c r="U80" s="85">
        <v>43547</v>
      </c>
      <c r="AC80" s="86">
        <v>43112</v>
      </c>
    </row>
    <row r="81" spans="3:29" hidden="1" x14ac:dyDescent="0.35">
      <c r="C81" s="83">
        <v>570</v>
      </c>
      <c r="D81" s="84" t="s">
        <v>444</v>
      </c>
      <c r="E81" s="84" t="s">
        <v>445</v>
      </c>
      <c r="F81" s="84" t="s">
        <v>442</v>
      </c>
      <c r="J81" s="1">
        <v>13</v>
      </c>
      <c r="K81" s="1" t="s">
        <v>446</v>
      </c>
      <c r="L81" s="1">
        <v>13</v>
      </c>
      <c r="O81" s="85">
        <v>43548</v>
      </c>
      <c r="P81" s="85">
        <v>43549</v>
      </c>
      <c r="Q81" s="85">
        <v>43550</v>
      </c>
      <c r="R81" s="85">
        <v>43551</v>
      </c>
      <c r="S81" s="85">
        <v>43552</v>
      </c>
      <c r="T81" s="85">
        <v>43553</v>
      </c>
      <c r="U81" s="85">
        <v>43554</v>
      </c>
      <c r="AC81" s="86">
        <v>43113</v>
      </c>
    </row>
    <row r="82" spans="3:29" hidden="1" x14ac:dyDescent="0.35">
      <c r="C82" s="83">
        <v>599</v>
      </c>
      <c r="D82" s="84" t="s">
        <v>447</v>
      </c>
      <c r="E82" s="84" t="s">
        <v>417</v>
      </c>
      <c r="F82" s="84" t="s">
        <v>408</v>
      </c>
      <c r="J82" s="1">
        <v>14</v>
      </c>
      <c r="K82" s="1" t="s">
        <v>448</v>
      </c>
      <c r="L82" s="1">
        <v>14</v>
      </c>
      <c r="O82" s="85">
        <v>43555</v>
      </c>
      <c r="P82" s="85">
        <v>43556</v>
      </c>
      <c r="Q82" s="85">
        <v>43557</v>
      </c>
      <c r="R82" s="85">
        <v>43558</v>
      </c>
      <c r="S82" s="85">
        <v>43559</v>
      </c>
      <c r="T82" s="85">
        <v>43560</v>
      </c>
      <c r="U82" s="85">
        <v>43561</v>
      </c>
      <c r="AC82" s="86">
        <v>43114</v>
      </c>
    </row>
    <row r="83" spans="3:29" hidden="1" x14ac:dyDescent="0.35">
      <c r="C83" s="83">
        <v>614</v>
      </c>
      <c r="D83" s="84" t="s">
        <v>449</v>
      </c>
      <c r="E83" s="84" t="s">
        <v>450</v>
      </c>
      <c r="F83" s="84" t="s">
        <v>370</v>
      </c>
      <c r="J83" s="1">
        <v>15</v>
      </c>
      <c r="K83" s="1" t="s">
        <v>451</v>
      </c>
      <c r="L83" s="1">
        <v>15</v>
      </c>
      <c r="O83" s="85">
        <v>43562</v>
      </c>
      <c r="P83" s="85">
        <v>43563</v>
      </c>
      <c r="Q83" s="85">
        <v>43564</v>
      </c>
      <c r="R83" s="85">
        <v>43565</v>
      </c>
      <c r="S83" s="85">
        <v>43566</v>
      </c>
      <c r="T83" s="85">
        <v>43567</v>
      </c>
      <c r="U83" s="85">
        <v>43568</v>
      </c>
      <c r="AC83" s="86">
        <v>43115</v>
      </c>
    </row>
    <row r="84" spans="3:29" hidden="1" x14ac:dyDescent="0.35">
      <c r="C84" s="83">
        <v>623</v>
      </c>
      <c r="D84" s="84" t="s">
        <v>452</v>
      </c>
      <c r="E84" s="84" t="s">
        <v>428</v>
      </c>
      <c r="F84" s="84" t="s">
        <v>442</v>
      </c>
      <c r="J84" s="1">
        <v>16</v>
      </c>
      <c r="K84" s="1" t="s">
        <v>453</v>
      </c>
      <c r="L84" s="1">
        <v>16</v>
      </c>
      <c r="O84" s="85">
        <v>43569</v>
      </c>
      <c r="P84" s="85">
        <v>43570</v>
      </c>
      <c r="Q84" s="85">
        <v>43571</v>
      </c>
      <c r="R84" s="85">
        <v>43572</v>
      </c>
      <c r="S84" s="85">
        <v>43573</v>
      </c>
      <c r="T84" s="85">
        <v>43574</v>
      </c>
      <c r="U84" s="85">
        <v>43575</v>
      </c>
      <c r="AC84" s="86">
        <v>43116</v>
      </c>
    </row>
    <row r="85" spans="3:29" hidden="1" x14ac:dyDescent="0.35">
      <c r="C85" s="83">
        <v>734</v>
      </c>
      <c r="D85" s="84" t="s">
        <v>454</v>
      </c>
      <c r="E85" s="84" t="s">
        <v>455</v>
      </c>
      <c r="F85" s="84" t="s">
        <v>432</v>
      </c>
      <c r="J85" s="1">
        <v>17</v>
      </c>
      <c r="K85" s="1" t="s">
        <v>456</v>
      </c>
      <c r="L85" s="1">
        <v>17</v>
      </c>
      <c r="O85" s="85">
        <v>43576</v>
      </c>
      <c r="P85" s="85">
        <v>43577</v>
      </c>
      <c r="Q85" s="85">
        <v>43578</v>
      </c>
      <c r="R85" s="85">
        <v>43579</v>
      </c>
      <c r="S85" s="85">
        <v>43580</v>
      </c>
      <c r="T85" s="85">
        <v>43581</v>
      </c>
      <c r="U85" s="85">
        <v>43582</v>
      </c>
      <c r="AC85" s="86">
        <v>43117</v>
      </c>
    </row>
    <row r="86" spans="3:29" hidden="1" x14ac:dyDescent="0.35">
      <c r="C86" s="83">
        <v>761</v>
      </c>
      <c r="D86" s="84" t="s">
        <v>457</v>
      </c>
      <c r="E86" s="84" t="s">
        <v>455</v>
      </c>
      <c r="F86" s="84" t="s">
        <v>432</v>
      </c>
      <c r="J86" s="1">
        <v>18</v>
      </c>
      <c r="K86" s="1" t="s">
        <v>458</v>
      </c>
      <c r="L86" s="1">
        <v>18</v>
      </c>
      <c r="O86" s="85">
        <v>43583</v>
      </c>
      <c r="P86" s="85">
        <v>43584</v>
      </c>
      <c r="Q86" s="85">
        <v>43585</v>
      </c>
      <c r="R86" s="85">
        <v>43586</v>
      </c>
      <c r="S86" s="85">
        <v>43587</v>
      </c>
      <c r="T86" s="85">
        <v>43588</v>
      </c>
      <c r="U86" s="85">
        <v>43589</v>
      </c>
      <c r="AC86" s="86">
        <v>43118</v>
      </c>
    </row>
    <row r="87" spans="3:29" hidden="1" x14ac:dyDescent="0.35">
      <c r="C87" s="83">
        <v>763</v>
      </c>
      <c r="D87" s="84" t="s">
        <v>459</v>
      </c>
      <c r="E87" s="84" t="s">
        <v>455</v>
      </c>
      <c r="F87" s="84" t="s">
        <v>429</v>
      </c>
      <c r="J87" s="1">
        <v>19</v>
      </c>
      <c r="K87" s="1" t="s">
        <v>460</v>
      </c>
      <c r="L87" s="1">
        <v>19</v>
      </c>
      <c r="O87" s="85">
        <v>43590</v>
      </c>
      <c r="P87" s="85">
        <v>43591</v>
      </c>
      <c r="Q87" s="85">
        <v>43592</v>
      </c>
      <c r="R87" s="85">
        <v>43593</v>
      </c>
      <c r="S87" s="85">
        <v>43594</v>
      </c>
      <c r="T87" s="85">
        <v>43595</v>
      </c>
      <c r="U87" s="85">
        <v>43596</v>
      </c>
      <c r="AC87" s="86">
        <v>43119</v>
      </c>
    </row>
    <row r="88" spans="3:29" hidden="1" x14ac:dyDescent="0.35">
      <c r="C88" s="83">
        <v>764</v>
      </c>
      <c r="D88" s="84" t="s">
        <v>461</v>
      </c>
      <c r="E88" s="84" t="s">
        <v>435</v>
      </c>
      <c r="F88" s="84" t="s">
        <v>442</v>
      </c>
      <c r="J88" s="1">
        <v>20</v>
      </c>
      <c r="K88" s="1" t="s">
        <v>462</v>
      </c>
      <c r="L88" s="1">
        <v>20</v>
      </c>
      <c r="O88" s="85">
        <v>43597</v>
      </c>
      <c r="P88" s="85">
        <v>43598</v>
      </c>
      <c r="Q88" s="85">
        <v>43599</v>
      </c>
      <c r="R88" s="85">
        <v>43600</v>
      </c>
      <c r="S88" s="85">
        <v>43601</v>
      </c>
      <c r="T88" s="85">
        <v>43602</v>
      </c>
      <c r="U88" s="85">
        <v>43603</v>
      </c>
      <c r="AC88" s="86">
        <v>43120</v>
      </c>
    </row>
    <row r="89" spans="3:29" hidden="1" x14ac:dyDescent="0.35">
      <c r="C89" s="83">
        <v>777</v>
      </c>
      <c r="D89" s="84" t="s">
        <v>463</v>
      </c>
      <c r="E89" s="84" t="s">
        <v>464</v>
      </c>
      <c r="F89" s="84" t="s">
        <v>413</v>
      </c>
      <c r="J89" s="1">
        <v>21</v>
      </c>
      <c r="K89" s="1" t="s">
        <v>465</v>
      </c>
      <c r="L89" s="1">
        <v>21</v>
      </c>
      <c r="O89" s="85">
        <v>43604</v>
      </c>
      <c r="P89" s="85">
        <v>43605</v>
      </c>
      <c r="Q89" s="85">
        <v>43606</v>
      </c>
      <c r="R89" s="85">
        <v>43607</v>
      </c>
      <c r="S89" s="85">
        <v>43608</v>
      </c>
      <c r="T89" s="85">
        <v>43609</v>
      </c>
      <c r="U89" s="85">
        <v>43610</v>
      </c>
      <c r="AC89" s="86">
        <v>43121</v>
      </c>
    </row>
    <row r="90" spans="3:29" hidden="1" x14ac:dyDescent="0.35">
      <c r="C90" s="83">
        <v>780</v>
      </c>
      <c r="D90" s="84" t="s">
        <v>466</v>
      </c>
      <c r="E90" s="84" t="s">
        <v>455</v>
      </c>
      <c r="F90" s="84" t="s">
        <v>432</v>
      </c>
      <c r="J90" s="1">
        <v>22</v>
      </c>
      <c r="K90" s="1" t="s">
        <v>467</v>
      </c>
      <c r="L90" s="1">
        <v>22</v>
      </c>
      <c r="O90" s="85">
        <v>43611</v>
      </c>
      <c r="P90" s="85">
        <v>43612</v>
      </c>
      <c r="Q90" s="85">
        <v>43613</v>
      </c>
      <c r="R90" s="85">
        <v>43614</v>
      </c>
      <c r="S90" s="85">
        <v>43615</v>
      </c>
      <c r="T90" s="85">
        <v>43616</v>
      </c>
      <c r="U90" s="85">
        <v>43617</v>
      </c>
      <c r="AC90" s="86">
        <v>43122</v>
      </c>
    </row>
    <row r="91" spans="3:29" hidden="1" x14ac:dyDescent="0.35">
      <c r="C91" s="83">
        <v>785</v>
      </c>
      <c r="D91" s="84" t="s">
        <v>468</v>
      </c>
      <c r="E91" s="84" t="s">
        <v>469</v>
      </c>
      <c r="F91" s="84" t="s">
        <v>370</v>
      </c>
      <c r="J91" s="1">
        <v>23</v>
      </c>
      <c r="K91" s="1" t="s">
        <v>470</v>
      </c>
      <c r="L91" s="1">
        <v>23</v>
      </c>
      <c r="O91" s="85">
        <v>43618</v>
      </c>
      <c r="P91" s="85">
        <v>43619</v>
      </c>
      <c r="Q91" s="85">
        <v>43620</v>
      </c>
      <c r="R91" s="85">
        <v>43621</v>
      </c>
      <c r="S91" s="85">
        <v>43622</v>
      </c>
      <c r="T91" s="85">
        <v>43623</v>
      </c>
      <c r="U91" s="85">
        <v>43624</v>
      </c>
      <c r="AC91" s="86">
        <v>43123</v>
      </c>
    </row>
    <row r="92" spans="3:29" hidden="1" x14ac:dyDescent="0.35">
      <c r="C92" s="83">
        <v>792</v>
      </c>
      <c r="D92" s="84" t="s">
        <v>471</v>
      </c>
      <c r="E92" s="84" t="s">
        <v>455</v>
      </c>
      <c r="F92" s="84" t="s">
        <v>432</v>
      </c>
      <c r="J92" s="1">
        <v>24</v>
      </c>
      <c r="K92" s="1" t="s">
        <v>472</v>
      </c>
      <c r="L92" s="1">
        <v>24</v>
      </c>
      <c r="O92" s="85">
        <v>43625</v>
      </c>
      <c r="P92" s="85">
        <v>43626</v>
      </c>
      <c r="Q92" s="85">
        <v>43627</v>
      </c>
      <c r="R92" s="85">
        <v>43628</v>
      </c>
      <c r="S92" s="85">
        <v>43629</v>
      </c>
      <c r="T92" s="85">
        <v>43630</v>
      </c>
      <c r="U92" s="85">
        <v>43631</v>
      </c>
      <c r="AC92" s="86">
        <v>43124</v>
      </c>
    </row>
    <row r="93" spans="3:29" hidden="1" x14ac:dyDescent="0.35">
      <c r="C93" s="83">
        <v>806</v>
      </c>
      <c r="D93" s="84" t="s">
        <v>473</v>
      </c>
      <c r="E93" s="84" t="s">
        <v>469</v>
      </c>
      <c r="F93" s="84" t="s">
        <v>370</v>
      </c>
      <c r="J93" s="1">
        <v>25</v>
      </c>
      <c r="K93" s="1" t="s">
        <v>474</v>
      </c>
      <c r="L93" s="1">
        <v>25</v>
      </c>
      <c r="O93" s="85">
        <v>43632</v>
      </c>
      <c r="P93" s="85">
        <v>43633</v>
      </c>
      <c r="Q93" s="85">
        <v>43634</v>
      </c>
      <c r="R93" s="85">
        <v>43635</v>
      </c>
      <c r="S93" s="85">
        <v>43636</v>
      </c>
      <c r="T93" s="85">
        <v>43637</v>
      </c>
      <c r="U93" s="85">
        <v>43638</v>
      </c>
      <c r="AC93" s="86">
        <v>43125</v>
      </c>
    </row>
    <row r="94" spans="3:29" hidden="1" x14ac:dyDescent="0.35">
      <c r="C94" s="83">
        <v>840</v>
      </c>
      <c r="D94" s="84" t="s">
        <v>475</v>
      </c>
      <c r="E94" s="84" t="s">
        <v>428</v>
      </c>
      <c r="F94" s="84" t="s">
        <v>432</v>
      </c>
      <c r="J94" s="1">
        <v>26</v>
      </c>
      <c r="K94" s="1" t="s">
        <v>476</v>
      </c>
      <c r="L94" s="1">
        <v>26</v>
      </c>
      <c r="O94" s="85">
        <v>43639</v>
      </c>
      <c r="P94" s="85">
        <v>43640</v>
      </c>
      <c r="Q94" s="85">
        <v>43641</v>
      </c>
      <c r="R94" s="85">
        <v>43642</v>
      </c>
      <c r="S94" s="85">
        <v>43643</v>
      </c>
      <c r="T94" s="85">
        <v>43644</v>
      </c>
      <c r="U94" s="85">
        <v>43645</v>
      </c>
      <c r="AC94" s="86">
        <v>43126</v>
      </c>
    </row>
    <row r="95" spans="3:29" hidden="1" x14ac:dyDescent="0.35">
      <c r="C95" s="83">
        <v>853</v>
      </c>
      <c r="D95" s="84" t="s">
        <v>477</v>
      </c>
      <c r="E95" s="84" t="s">
        <v>371</v>
      </c>
      <c r="F95" s="84" t="s">
        <v>442</v>
      </c>
      <c r="J95" s="1">
        <v>27</v>
      </c>
      <c r="K95" s="1" t="s">
        <v>478</v>
      </c>
      <c r="L95" s="1">
        <v>27</v>
      </c>
      <c r="O95" s="85">
        <v>43646</v>
      </c>
      <c r="P95" s="85">
        <v>43647</v>
      </c>
      <c r="Q95" s="85">
        <v>43648</v>
      </c>
      <c r="R95" s="85">
        <v>43649</v>
      </c>
      <c r="S95" s="85">
        <v>43650</v>
      </c>
      <c r="T95" s="85">
        <v>43651</v>
      </c>
      <c r="U95" s="85">
        <v>43652</v>
      </c>
      <c r="AC95" s="86">
        <v>43127</v>
      </c>
    </row>
    <row r="96" spans="3:29" hidden="1" x14ac:dyDescent="0.35">
      <c r="C96" s="83">
        <v>857</v>
      </c>
      <c r="D96" s="84" t="s">
        <v>479</v>
      </c>
      <c r="E96" s="84" t="s">
        <v>464</v>
      </c>
      <c r="F96" s="84" t="s">
        <v>408</v>
      </c>
      <c r="J96" s="1">
        <v>28</v>
      </c>
      <c r="K96" s="1" t="s">
        <v>480</v>
      </c>
      <c r="L96" s="1">
        <v>28</v>
      </c>
      <c r="O96" s="85">
        <v>43653</v>
      </c>
      <c r="P96" s="85">
        <v>43654</v>
      </c>
      <c r="Q96" s="85">
        <v>43655</v>
      </c>
      <c r="R96" s="85">
        <v>43656</v>
      </c>
      <c r="S96" s="85">
        <v>43657</v>
      </c>
      <c r="T96" s="85">
        <v>43658</v>
      </c>
      <c r="U96" s="85">
        <v>43659</v>
      </c>
      <c r="AC96" s="86">
        <v>43128</v>
      </c>
    </row>
    <row r="97" spans="3:29" hidden="1" x14ac:dyDescent="0.35">
      <c r="C97" s="83">
        <v>860</v>
      </c>
      <c r="D97" s="84" t="s">
        <v>481</v>
      </c>
      <c r="E97" s="84" t="s">
        <v>482</v>
      </c>
      <c r="F97" s="84" t="s">
        <v>370</v>
      </c>
      <c r="J97" s="1">
        <v>29</v>
      </c>
      <c r="K97" s="1" t="s">
        <v>483</v>
      </c>
      <c r="L97" s="1">
        <v>29</v>
      </c>
      <c r="O97" s="85">
        <v>43660</v>
      </c>
      <c r="P97" s="85">
        <v>43661</v>
      </c>
      <c r="Q97" s="85">
        <v>43662</v>
      </c>
      <c r="R97" s="85">
        <v>43663</v>
      </c>
      <c r="S97" s="85">
        <v>43664</v>
      </c>
      <c r="T97" s="85">
        <v>43665</v>
      </c>
      <c r="U97" s="85">
        <v>43666</v>
      </c>
      <c r="AC97" s="86">
        <v>43129</v>
      </c>
    </row>
    <row r="98" spans="3:29" hidden="1" x14ac:dyDescent="0.35">
      <c r="C98" s="83">
        <v>861</v>
      </c>
      <c r="D98" s="84" t="s">
        <v>484</v>
      </c>
      <c r="E98" s="84" t="s">
        <v>428</v>
      </c>
      <c r="F98" s="84" t="s">
        <v>432</v>
      </c>
      <c r="J98" s="1">
        <v>30</v>
      </c>
      <c r="K98" s="1" t="s">
        <v>485</v>
      </c>
      <c r="L98" s="1">
        <v>30</v>
      </c>
      <c r="O98" s="85">
        <v>43667</v>
      </c>
      <c r="P98" s="85">
        <v>43668</v>
      </c>
      <c r="Q98" s="85">
        <v>43669</v>
      </c>
      <c r="R98" s="85">
        <v>43670</v>
      </c>
      <c r="S98" s="85">
        <v>43671</v>
      </c>
      <c r="T98" s="85">
        <v>43672</v>
      </c>
      <c r="U98" s="85">
        <v>43673</v>
      </c>
      <c r="AC98" s="86">
        <v>43130</v>
      </c>
    </row>
    <row r="99" spans="3:29" hidden="1" x14ac:dyDescent="0.35">
      <c r="C99" s="83">
        <v>869</v>
      </c>
      <c r="D99" s="84" t="s">
        <v>486</v>
      </c>
      <c r="E99" s="84" t="s">
        <v>412</v>
      </c>
      <c r="F99" s="84" t="s">
        <v>418</v>
      </c>
      <c r="J99" s="1">
        <v>31</v>
      </c>
      <c r="K99" s="1" t="s">
        <v>487</v>
      </c>
      <c r="L99" s="1">
        <v>31</v>
      </c>
      <c r="O99" s="85">
        <v>43674</v>
      </c>
      <c r="P99" s="85">
        <v>43675</v>
      </c>
      <c r="Q99" s="85">
        <v>43676</v>
      </c>
      <c r="R99" s="85">
        <v>43677</v>
      </c>
      <c r="S99" s="85">
        <v>43678</v>
      </c>
      <c r="T99" s="85">
        <v>43679</v>
      </c>
      <c r="U99" s="85">
        <v>43680</v>
      </c>
      <c r="AC99" s="86">
        <v>43131</v>
      </c>
    </row>
    <row r="100" spans="3:29" hidden="1" x14ac:dyDescent="0.35">
      <c r="C100" s="83">
        <v>880</v>
      </c>
      <c r="D100" s="84" t="s">
        <v>488</v>
      </c>
      <c r="E100" s="84" t="s">
        <v>469</v>
      </c>
      <c r="F100" s="84" t="s">
        <v>413</v>
      </c>
      <c r="J100" s="1">
        <v>32</v>
      </c>
      <c r="K100" s="1" t="s">
        <v>489</v>
      </c>
      <c r="L100" s="1">
        <v>32</v>
      </c>
      <c r="O100" s="85">
        <v>43681</v>
      </c>
      <c r="P100" s="85">
        <v>43682</v>
      </c>
      <c r="Q100" s="85">
        <v>43683</v>
      </c>
      <c r="R100" s="85">
        <v>43684</v>
      </c>
      <c r="S100" s="85">
        <v>43685</v>
      </c>
      <c r="T100" s="85">
        <v>43686</v>
      </c>
      <c r="U100" s="85">
        <v>43687</v>
      </c>
      <c r="AC100" s="86">
        <v>43132</v>
      </c>
    </row>
    <row r="101" spans="3:29" hidden="1" x14ac:dyDescent="0.35">
      <c r="C101" s="83">
        <v>881</v>
      </c>
      <c r="D101" s="84" t="s">
        <v>490</v>
      </c>
      <c r="E101" s="84" t="s">
        <v>435</v>
      </c>
      <c r="F101" s="84" t="s">
        <v>442</v>
      </c>
      <c r="J101" s="1">
        <v>33</v>
      </c>
      <c r="K101" s="1" t="s">
        <v>491</v>
      </c>
      <c r="L101" s="1">
        <v>33</v>
      </c>
      <c r="O101" s="85">
        <v>43688</v>
      </c>
      <c r="P101" s="85">
        <v>43689</v>
      </c>
      <c r="Q101" s="85">
        <v>43690</v>
      </c>
      <c r="R101" s="85">
        <v>43691</v>
      </c>
      <c r="S101" s="85">
        <v>43692</v>
      </c>
      <c r="T101" s="85">
        <v>43693</v>
      </c>
      <c r="U101" s="85">
        <v>43694</v>
      </c>
      <c r="AC101" s="86">
        <v>43133</v>
      </c>
    </row>
    <row r="102" spans="3:29" hidden="1" x14ac:dyDescent="0.35">
      <c r="C102" s="83">
        <v>888</v>
      </c>
      <c r="D102" s="84" t="s">
        <v>492</v>
      </c>
      <c r="E102" s="84" t="s">
        <v>435</v>
      </c>
      <c r="F102" s="84" t="s">
        <v>432</v>
      </c>
      <c r="J102" s="1">
        <v>34</v>
      </c>
      <c r="K102" s="1" t="s">
        <v>493</v>
      </c>
      <c r="L102" s="1">
        <v>34</v>
      </c>
      <c r="O102" s="85">
        <v>43695</v>
      </c>
      <c r="P102" s="85">
        <v>43696</v>
      </c>
      <c r="Q102" s="85">
        <v>43697</v>
      </c>
      <c r="R102" s="85">
        <v>43698</v>
      </c>
      <c r="S102" s="85">
        <v>43699</v>
      </c>
      <c r="T102" s="85">
        <v>43700</v>
      </c>
      <c r="U102" s="85">
        <v>43701</v>
      </c>
      <c r="AC102" s="86">
        <v>43134</v>
      </c>
    </row>
    <row r="103" spans="3:29" hidden="1" x14ac:dyDescent="0.35">
      <c r="C103" s="83">
        <v>896</v>
      </c>
      <c r="D103" s="84" t="s">
        <v>494</v>
      </c>
      <c r="E103" s="84" t="s">
        <v>495</v>
      </c>
      <c r="F103" s="84" t="s">
        <v>370</v>
      </c>
      <c r="J103" s="1">
        <v>35</v>
      </c>
      <c r="K103" s="1" t="s">
        <v>496</v>
      </c>
      <c r="L103" s="1">
        <v>35</v>
      </c>
      <c r="O103" s="85">
        <v>43702</v>
      </c>
      <c r="P103" s="85">
        <v>43703</v>
      </c>
      <c r="Q103" s="85">
        <v>43704</v>
      </c>
      <c r="R103" s="85">
        <v>43705</v>
      </c>
      <c r="S103" s="85">
        <v>43706</v>
      </c>
      <c r="T103" s="85">
        <v>43707</v>
      </c>
      <c r="U103" s="85">
        <v>43708</v>
      </c>
      <c r="AC103" s="86">
        <v>43135</v>
      </c>
    </row>
    <row r="104" spans="3:29" hidden="1" x14ac:dyDescent="0.35">
      <c r="C104" s="83">
        <v>912</v>
      </c>
      <c r="D104" s="84" t="s">
        <v>497</v>
      </c>
      <c r="E104" s="84" t="s">
        <v>371</v>
      </c>
      <c r="F104" s="84" t="s">
        <v>408</v>
      </c>
      <c r="J104" s="1">
        <v>36</v>
      </c>
      <c r="K104" s="1" t="s">
        <v>498</v>
      </c>
      <c r="L104" s="1">
        <v>36</v>
      </c>
      <c r="O104" s="85">
        <v>43709</v>
      </c>
      <c r="P104" s="85">
        <v>43710</v>
      </c>
      <c r="Q104" s="85">
        <v>43711</v>
      </c>
      <c r="R104" s="85">
        <v>43712</v>
      </c>
      <c r="S104" s="85">
        <v>43713</v>
      </c>
      <c r="T104" s="85">
        <v>43714</v>
      </c>
      <c r="U104" s="85">
        <v>43715</v>
      </c>
      <c r="AC104" s="86">
        <v>43136</v>
      </c>
    </row>
    <row r="105" spans="3:29" hidden="1" x14ac:dyDescent="0.35">
      <c r="C105" s="83">
        <v>916</v>
      </c>
      <c r="D105" s="84" t="s">
        <v>499</v>
      </c>
      <c r="E105" s="84" t="s">
        <v>428</v>
      </c>
      <c r="F105" s="84" t="s">
        <v>432</v>
      </c>
      <c r="J105" s="1">
        <v>37</v>
      </c>
      <c r="K105" s="1" t="s">
        <v>500</v>
      </c>
      <c r="L105" s="1">
        <v>37</v>
      </c>
      <c r="O105" s="85">
        <v>43716</v>
      </c>
      <c r="P105" s="85">
        <v>43717</v>
      </c>
      <c r="Q105" s="85">
        <v>43718</v>
      </c>
      <c r="R105" s="85">
        <v>43719</v>
      </c>
      <c r="S105" s="85">
        <v>43720</v>
      </c>
      <c r="T105" s="85">
        <v>43721</v>
      </c>
      <c r="U105" s="85">
        <v>43722</v>
      </c>
      <c r="AC105" s="86">
        <v>43137</v>
      </c>
    </row>
    <row r="106" spans="3:29" hidden="1" x14ac:dyDescent="0.35">
      <c r="C106" s="83">
        <v>923</v>
      </c>
      <c r="D106" s="84" t="s">
        <v>501</v>
      </c>
      <c r="E106" s="84" t="s">
        <v>455</v>
      </c>
      <c r="F106" s="84" t="s">
        <v>432</v>
      </c>
      <c r="J106" s="1">
        <v>38</v>
      </c>
      <c r="K106" s="1" t="s">
        <v>502</v>
      </c>
      <c r="L106" s="1">
        <v>38</v>
      </c>
      <c r="O106" s="85">
        <v>43723</v>
      </c>
      <c r="P106" s="85">
        <v>43724</v>
      </c>
      <c r="Q106" s="85">
        <v>43725</v>
      </c>
      <c r="R106" s="85">
        <v>43726</v>
      </c>
      <c r="S106" s="85">
        <v>43727</v>
      </c>
      <c r="T106" s="85">
        <v>43728</v>
      </c>
      <c r="U106" s="85">
        <v>43729</v>
      </c>
      <c r="AC106" s="86">
        <v>43138</v>
      </c>
    </row>
    <row r="107" spans="3:29" hidden="1" x14ac:dyDescent="0.35">
      <c r="C107" s="83">
        <v>924</v>
      </c>
      <c r="D107" s="84" t="s">
        <v>503</v>
      </c>
      <c r="E107" s="84" t="s">
        <v>455</v>
      </c>
      <c r="F107" s="84" t="s">
        <v>432</v>
      </c>
      <c r="J107" s="1">
        <v>39</v>
      </c>
      <c r="K107" s="1" t="s">
        <v>504</v>
      </c>
      <c r="L107" s="1">
        <v>39</v>
      </c>
      <c r="O107" s="85">
        <v>43730</v>
      </c>
      <c r="P107" s="85">
        <v>43731</v>
      </c>
      <c r="Q107" s="85">
        <v>43732</v>
      </c>
      <c r="R107" s="85">
        <v>43733</v>
      </c>
      <c r="S107" s="85">
        <v>43734</v>
      </c>
      <c r="T107" s="85">
        <v>43735</v>
      </c>
      <c r="U107" s="85">
        <v>43736</v>
      </c>
      <c r="AC107" s="86">
        <v>43139</v>
      </c>
    </row>
    <row r="108" spans="3:29" hidden="1" x14ac:dyDescent="0.35">
      <c r="C108" s="83">
        <v>928</v>
      </c>
      <c r="D108" s="84" t="s">
        <v>505</v>
      </c>
      <c r="E108" s="84" t="s">
        <v>506</v>
      </c>
      <c r="F108" s="84" t="s">
        <v>442</v>
      </c>
      <c r="J108" s="1">
        <v>40</v>
      </c>
      <c r="K108" s="1" t="s">
        <v>507</v>
      </c>
      <c r="L108" s="1">
        <v>40</v>
      </c>
      <c r="O108" s="85">
        <v>43737</v>
      </c>
      <c r="P108" s="85">
        <v>43738</v>
      </c>
      <c r="Q108" s="85">
        <v>43739</v>
      </c>
      <c r="R108" s="85">
        <v>43740</v>
      </c>
      <c r="S108" s="85">
        <v>43741</v>
      </c>
      <c r="T108" s="85">
        <v>43742</v>
      </c>
      <c r="U108" s="85">
        <v>43743</v>
      </c>
      <c r="AC108" s="86">
        <v>43140</v>
      </c>
    </row>
    <row r="109" spans="3:29" hidden="1" x14ac:dyDescent="0.35">
      <c r="C109" s="83">
        <v>930</v>
      </c>
      <c r="D109" s="84" t="s">
        <v>508</v>
      </c>
      <c r="E109" s="84" t="s">
        <v>509</v>
      </c>
      <c r="F109" s="84" t="s">
        <v>413</v>
      </c>
      <c r="J109" s="1">
        <v>41</v>
      </c>
      <c r="K109" s="1" t="s">
        <v>510</v>
      </c>
      <c r="L109" s="1">
        <v>41</v>
      </c>
      <c r="O109" s="85">
        <v>43744</v>
      </c>
      <c r="P109" s="85">
        <v>43745</v>
      </c>
      <c r="Q109" s="85">
        <v>43746</v>
      </c>
      <c r="R109" s="85">
        <v>43747</v>
      </c>
      <c r="S109" s="85">
        <v>43748</v>
      </c>
      <c r="T109" s="85">
        <v>43749</v>
      </c>
      <c r="U109" s="85">
        <v>43750</v>
      </c>
      <c r="AC109" s="86">
        <v>43141</v>
      </c>
    </row>
    <row r="110" spans="3:29" hidden="1" x14ac:dyDescent="0.35">
      <c r="C110" s="83">
        <v>932</v>
      </c>
      <c r="D110" s="84" t="s">
        <v>511</v>
      </c>
      <c r="E110" s="84" t="s">
        <v>464</v>
      </c>
      <c r="F110" s="84" t="s">
        <v>413</v>
      </c>
      <c r="J110" s="1">
        <v>42</v>
      </c>
      <c r="K110" s="1" t="s">
        <v>512</v>
      </c>
      <c r="L110" s="1">
        <v>42</v>
      </c>
      <c r="O110" s="85">
        <v>43751</v>
      </c>
      <c r="P110" s="85">
        <v>43752</v>
      </c>
      <c r="Q110" s="85">
        <v>43753</v>
      </c>
      <c r="R110" s="85">
        <v>43754</v>
      </c>
      <c r="S110" s="85">
        <v>43755</v>
      </c>
      <c r="T110" s="85">
        <v>43756</v>
      </c>
      <c r="U110" s="85">
        <v>43757</v>
      </c>
      <c r="AC110" s="86">
        <v>43142</v>
      </c>
    </row>
    <row r="111" spans="3:29" hidden="1" x14ac:dyDescent="0.35">
      <c r="C111" s="83">
        <v>933</v>
      </c>
      <c r="D111" s="84" t="s">
        <v>513</v>
      </c>
      <c r="E111" s="84" t="s">
        <v>435</v>
      </c>
      <c r="F111" s="84" t="s">
        <v>432</v>
      </c>
      <c r="J111" s="1">
        <v>43</v>
      </c>
      <c r="K111" s="1" t="s">
        <v>514</v>
      </c>
      <c r="L111" s="1">
        <v>43</v>
      </c>
      <c r="O111" s="85">
        <v>43758</v>
      </c>
      <c r="P111" s="85">
        <v>43759</v>
      </c>
      <c r="Q111" s="85">
        <v>43760</v>
      </c>
      <c r="R111" s="85">
        <v>43761</v>
      </c>
      <c r="S111" s="85">
        <v>43762</v>
      </c>
      <c r="T111" s="85">
        <v>43763</v>
      </c>
      <c r="U111" s="85">
        <v>43764</v>
      </c>
      <c r="AC111" s="86">
        <v>43143</v>
      </c>
    </row>
    <row r="112" spans="3:29" hidden="1" x14ac:dyDescent="0.35">
      <c r="C112" s="83">
        <v>966</v>
      </c>
      <c r="D112" s="84" t="s">
        <v>515</v>
      </c>
      <c r="E112" s="84" t="s">
        <v>469</v>
      </c>
      <c r="F112" s="84" t="s">
        <v>413</v>
      </c>
      <c r="J112" s="1">
        <v>44</v>
      </c>
      <c r="K112" s="1" t="s">
        <v>516</v>
      </c>
      <c r="L112" s="1">
        <v>44</v>
      </c>
      <c r="O112" s="85">
        <v>43765</v>
      </c>
      <c r="P112" s="85">
        <v>43766</v>
      </c>
      <c r="Q112" s="85">
        <v>43767</v>
      </c>
      <c r="R112" s="85">
        <v>43768</v>
      </c>
      <c r="S112" s="85">
        <v>43769</v>
      </c>
      <c r="T112" s="85">
        <v>43770</v>
      </c>
      <c r="U112" s="85">
        <v>43771</v>
      </c>
      <c r="AC112" s="86">
        <v>43144</v>
      </c>
    </row>
    <row r="113" spans="3:29" hidden="1" x14ac:dyDescent="0.35">
      <c r="C113" s="83">
        <v>969</v>
      </c>
      <c r="D113" s="84" t="s">
        <v>517</v>
      </c>
      <c r="E113" s="84" t="s">
        <v>518</v>
      </c>
      <c r="F113" s="84" t="s">
        <v>370</v>
      </c>
      <c r="J113" s="1">
        <v>45</v>
      </c>
      <c r="K113" s="1" t="s">
        <v>519</v>
      </c>
      <c r="L113" s="1">
        <v>45</v>
      </c>
      <c r="O113" s="85">
        <v>43772</v>
      </c>
      <c r="P113" s="85">
        <v>43773</v>
      </c>
      <c r="Q113" s="85">
        <v>43774</v>
      </c>
      <c r="R113" s="85">
        <v>43775</v>
      </c>
      <c r="S113" s="85">
        <v>43776</v>
      </c>
      <c r="T113" s="85">
        <v>43777</v>
      </c>
      <c r="U113" s="85">
        <v>43778</v>
      </c>
      <c r="AC113" s="86">
        <v>43145</v>
      </c>
    </row>
    <row r="114" spans="3:29" hidden="1" x14ac:dyDescent="0.35">
      <c r="C114" s="83">
        <v>974</v>
      </c>
      <c r="D114" s="84" t="s">
        <v>520</v>
      </c>
      <c r="E114" s="84" t="s">
        <v>412</v>
      </c>
      <c r="F114" s="84" t="s">
        <v>418</v>
      </c>
      <c r="J114" s="1">
        <v>46</v>
      </c>
      <c r="K114" s="1" t="s">
        <v>521</v>
      </c>
      <c r="L114" s="1">
        <v>46</v>
      </c>
      <c r="O114" s="85">
        <v>43779</v>
      </c>
      <c r="P114" s="85">
        <v>43780</v>
      </c>
      <c r="Q114" s="85">
        <v>43781</v>
      </c>
      <c r="R114" s="85">
        <v>43782</v>
      </c>
      <c r="S114" s="85">
        <v>43783</v>
      </c>
      <c r="T114" s="85">
        <v>43784</v>
      </c>
      <c r="U114" s="85">
        <v>43785</v>
      </c>
      <c r="AC114" s="86">
        <v>43146</v>
      </c>
    </row>
    <row r="115" spans="3:29" hidden="1" x14ac:dyDescent="0.35">
      <c r="C115" s="83">
        <v>993</v>
      </c>
      <c r="D115" s="84" t="s">
        <v>522</v>
      </c>
      <c r="E115" s="84" t="s">
        <v>455</v>
      </c>
      <c r="F115" s="84" t="s">
        <v>432</v>
      </c>
      <c r="J115" s="1">
        <v>47</v>
      </c>
      <c r="K115" s="1" t="s">
        <v>523</v>
      </c>
      <c r="L115" s="1">
        <v>47</v>
      </c>
      <c r="O115" s="85">
        <v>43786</v>
      </c>
      <c r="P115" s="85">
        <v>43787</v>
      </c>
      <c r="Q115" s="85">
        <v>43788</v>
      </c>
      <c r="R115" s="85">
        <v>43789</v>
      </c>
      <c r="S115" s="85">
        <v>43790</v>
      </c>
      <c r="T115" s="85">
        <v>43791</v>
      </c>
      <c r="U115" s="85">
        <v>43792</v>
      </c>
      <c r="AC115" s="86">
        <v>43147</v>
      </c>
    </row>
    <row r="116" spans="3:29" hidden="1" x14ac:dyDescent="0.35">
      <c r="C116" s="83">
        <v>994</v>
      </c>
      <c r="D116" s="84" t="s">
        <v>524</v>
      </c>
      <c r="E116" s="84" t="s">
        <v>435</v>
      </c>
      <c r="F116" s="84" t="s">
        <v>370</v>
      </c>
      <c r="J116" s="1">
        <v>48</v>
      </c>
      <c r="K116" s="1" t="s">
        <v>525</v>
      </c>
      <c r="L116" s="1">
        <v>48</v>
      </c>
      <c r="O116" s="85">
        <v>43793</v>
      </c>
      <c r="P116" s="85">
        <v>43794</v>
      </c>
      <c r="Q116" s="85">
        <v>43795</v>
      </c>
      <c r="R116" s="85">
        <v>43796</v>
      </c>
      <c r="S116" s="85">
        <v>43797</v>
      </c>
      <c r="T116" s="85">
        <v>43798</v>
      </c>
      <c r="U116" s="85">
        <v>43799</v>
      </c>
      <c r="AC116" s="86">
        <v>43148</v>
      </c>
    </row>
    <row r="117" spans="3:29" hidden="1" x14ac:dyDescent="0.35">
      <c r="C117" s="83">
        <v>1015</v>
      </c>
      <c r="D117" s="84" t="s">
        <v>526</v>
      </c>
      <c r="E117" s="84" t="s">
        <v>455</v>
      </c>
      <c r="F117" s="84" t="s">
        <v>429</v>
      </c>
      <c r="J117" s="1">
        <v>49</v>
      </c>
      <c r="K117" s="1" t="s">
        <v>527</v>
      </c>
      <c r="L117" s="1">
        <v>49</v>
      </c>
      <c r="O117" s="85">
        <v>43800</v>
      </c>
      <c r="P117" s="85">
        <v>43801</v>
      </c>
      <c r="Q117" s="85">
        <v>43802</v>
      </c>
      <c r="R117" s="85">
        <v>43803</v>
      </c>
      <c r="S117" s="85">
        <v>43804</v>
      </c>
      <c r="T117" s="85">
        <v>43805</v>
      </c>
      <c r="U117" s="85">
        <v>43806</v>
      </c>
      <c r="AC117" s="86">
        <v>43149</v>
      </c>
    </row>
    <row r="118" spans="3:29" hidden="1" x14ac:dyDescent="0.35">
      <c r="C118" s="83">
        <v>1051</v>
      </c>
      <c r="D118" s="84" t="s">
        <v>528</v>
      </c>
      <c r="E118" s="84" t="s">
        <v>506</v>
      </c>
      <c r="F118" s="84" t="s">
        <v>370</v>
      </c>
      <c r="J118" s="1">
        <v>50</v>
      </c>
      <c r="K118" s="1" t="s">
        <v>529</v>
      </c>
      <c r="L118" s="1">
        <v>50</v>
      </c>
      <c r="O118" s="85">
        <v>43807</v>
      </c>
      <c r="P118" s="85">
        <v>43808</v>
      </c>
      <c r="Q118" s="85">
        <v>43809</v>
      </c>
      <c r="R118" s="85">
        <v>43810</v>
      </c>
      <c r="S118" s="85">
        <v>43811</v>
      </c>
      <c r="T118" s="85">
        <v>43812</v>
      </c>
      <c r="U118" s="85">
        <v>43813</v>
      </c>
      <c r="AC118" s="86">
        <v>43150</v>
      </c>
    </row>
    <row r="119" spans="3:29" hidden="1" x14ac:dyDescent="0.35">
      <c r="C119" s="83">
        <v>1057</v>
      </c>
      <c r="D119" s="84" t="s">
        <v>530</v>
      </c>
      <c r="E119" s="84" t="s">
        <v>531</v>
      </c>
      <c r="F119" s="84" t="s">
        <v>442</v>
      </c>
      <c r="J119" s="1">
        <v>51</v>
      </c>
      <c r="K119" s="1" t="s">
        <v>532</v>
      </c>
      <c r="L119" s="1">
        <v>51</v>
      </c>
      <c r="O119" s="85">
        <v>43814</v>
      </c>
      <c r="P119" s="85">
        <v>43815</v>
      </c>
      <c r="Q119" s="85">
        <v>43816</v>
      </c>
      <c r="R119" s="85">
        <v>43817</v>
      </c>
      <c r="S119" s="85">
        <v>43818</v>
      </c>
      <c r="T119" s="85">
        <v>43819</v>
      </c>
      <c r="U119" s="85">
        <v>43820</v>
      </c>
      <c r="AC119" s="86">
        <v>43151</v>
      </c>
    </row>
    <row r="120" spans="3:29" hidden="1" x14ac:dyDescent="0.35">
      <c r="C120" s="83">
        <v>1069</v>
      </c>
      <c r="D120" s="84" t="s">
        <v>533</v>
      </c>
      <c r="E120" s="84" t="s">
        <v>435</v>
      </c>
      <c r="F120" s="84" t="s">
        <v>442</v>
      </c>
      <c r="J120" s="1">
        <v>52</v>
      </c>
      <c r="K120" s="1" t="s">
        <v>534</v>
      </c>
      <c r="L120" s="1">
        <v>52</v>
      </c>
      <c r="O120" s="85">
        <v>43821</v>
      </c>
      <c r="P120" s="85">
        <v>43822</v>
      </c>
      <c r="Q120" s="85">
        <v>43823</v>
      </c>
      <c r="R120" s="85">
        <v>43824</v>
      </c>
      <c r="S120" s="85">
        <v>43825</v>
      </c>
      <c r="T120" s="85">
        <v>43826</v>
      </c>
      <c r="U120" s="85">
        <v>43827</v>
      </c>
      <c r="AC120" s="86">
        <v>43152</v>
      </c>
    </row>
    <row r="121" spans="3:29" hidden="1" x14ac:dyDescent="0.35">
      <c r="C121" s="83">
        <v>1079</v>
      </c>
      <c r="D121" s="84" t="s">
        <v>535</v>
      </c>
      <c r="E121" s="84" t="s">
        <v>469</v>
      </c>
      <c r="F121" s="84" t="s">
        <v>418</v>
      </c>
      <c r="J121" s="1">
        <v>53</v>
      </c>
      <c r="K121" s="1" t="s">
        <v>536</v>
      </c>
      <c r="L121" s="1">
        <v>53</v>
      </c>
      <c r="O121" s="85">
        <v>43828</v>
      </c>
      <c r="P121" s="85">
        <v>43829</v>
      </c>
      <c r="Q121" s="85">
        <v>43830</v>
      </c>
      <c r="R121" s="85">
        <v>43831</v>
      </c>
      <c r="S121" s="85">
        <v>43832</v>
      </c>
      <c r="T121" s="85">
        <v>43833</v>
      </c>
      <c r="U121" s="85">
        <v>43834</v>
      </c>
      <c r="AC121" s="86">
        <v>43153</v>
      </c>
    </row>
    <row r="122" spans="3:29" hidden="1" x14ac:dyDescent="0.35">
      <c r="C122" s="83">
        <v>1085</v>
      </c>
      <c r="D122" s="84" t="s">
        <v>537</v>
      </c>
      <c r="E122" s="84" t="s">
        <v>198</v>
      </c>
      <c r="F122" s="84" t="s">
        <v>370</v>
      </c>
      <c r="AC122" s="86">
        <v>43154</v>
      </c>
    </row>
    <row r="123" spans="3:29" hidden="1" x14ac:dyDescent="0.35">
      <c r="C123" s="83">
        <v>1088</v>
      </c>
      <c r="D123" s="84" t="s">
        <v>538</v>
      </c>
      <c r="E123" s="84" t="s">
        <v>428</v>
      </c>
      <c r="F123" s="84" t="s">
        <v>413</v>
      </c>
      <c r="AC123" s="86">
        <v>43155</v>
      </c>
    </row>
    <row r="124" spans="3:29" hidden="1" x14ac:dyDescent="0.35">
      <c r="C124" s="83">
        <v>1092</v>
      </c>
      <c r="D124" s="84" t="s">
        <v>539</v>
      </c>
      <c r="E124" s="84" t="s">
        <v>407</v>
      </c>
      <c r="F124" s="84" t="s">
        <v>370</v>
      </c>
      <c r="AC124" s="86">
        <v>43156</v>
      </c>
    </row>
    <row r="125" spans="3:29" hidden="1" x14ac:dyDescent="0.35">
      <c r="C125" s="83">
        <v>1123</v>
      </c>
      <c r="D125" s="84" t="s">
        <v>540</v>
      </c>
      <c r="E125" s="84" t="s">
        <v>371</v>
      </c>
      <c r="F125" s="84" t="s">
        <v>541</v>
      </c>
      <c r="AC125" s="86">
        <v>43157</v>
      </c>
    </row>
    <row r="126" spans="3:29" hidden="1" x14ac:dyDescent="0.35">
      <c r="C126" s="83">
        <v>1139</v>
      </c>
      <c r="D126" s="84" t="s">
        <v>542</v>
      </c>
      <c r="E126" s="84" t="s">
        <v>450</v>
      </c>
      <c r="F126" s="84" t="s">
        <v>432</v>
      </c>
      <c r="AC126" s="86">
        <v>43158</v>
      </c>
    </row>
    <row r="127" spans="3:29" hidden="1" x14ac:dyDescent="0.35">
      <c r="C127" s="83">
        <v>1140</v>
      </c>
      <c r="D127" s="84" t="s">
        <v>543</v>
      </c>
      <c r="E127" s="84" t="s">
        <v>445</v>
      </c>
      <c r="F127" s="84" t="s">
        <v>408</v>
      </c>
      <c r="AC127" s="86">
        <v>43159</v>
      </c>
    </row>
    <row r="128" spans="3:29" hidden="1" x14ac:dyDescent="0.35">
      <c r="C128" s="83">
        <v>1170</v>
      </c>
      <c r="D128" s="84" t="s">
        <v>544</v>
      </c>
      <c r="E128" s="84" t="s">
        <v>545</v>
      </c>
      <c r="F128" s="84" t="s">
        <v>442</v>
      </c>
      <c r="AC128" s="86">
        <v>43160</v>
      </c>
    </row>
    <row r="129" spans="3:29" hidden="1" x14ac:dyDescent="0.35">
      <c r="C129" s="83">
        <v>1208</v>
      </c>
      <c r="D129" s="84" t="s">
        <v>546</v>
      </c>
      <c r="E129" s="84" t="s">
        <v>547</v>
      </c>
      <c r="F129" s="84" t="s">
        <v>370</v>
      </c>
      <c r="AC129" s="86">
        <v>43161</v>
      </c>
    </row>
    <row r="130" spans="3:29" hidden="1" x14ac:dyDescent="0.35">
      <c r="C130" s="83">
        <v>1210</v>
      </c>
      <c r="D130" s="84" t="s">
        <v>548</v>
      </c>
      <c r="E130" s="84" t="s">
        <v>371</v>
      </c>
      <c r="F130" s="84" t="s">
        <v>408</v>
      </c>
      <c r="AC130" s="86">
        <v>43162</v>
      </c>
    </row>
    <row r="131" spans="3:29" hidden="1" x14ac:dyDescent="0.35">
      <c r="C131" s="83">
        <v>1215</v>
      </c>
      <c r="D131" s="84" t="s">
        <v>549</v>
      </c>
      <c r="E131" s="84" t="s">
        <v>428</v>
      </c>
      <c r="F131" s="84" t="s">
        <v>432</v>
      </c>
      <c r="AC131" s="86">
        <v>43163</v>
      </c>
    </row>
    <row r="132" spans="3:29" hidden="1" x14ac:dyDescent="0.35">
      <c r="C132" s="83">
        <v>1234</v>
      </c>
      <c r="D132" s="84" t="s">
        <v>550</v>
      </c>
      <c r="E132" s="84" t="s">
        <v>455</v>
      </c>
      <c r="F132" s="84" t="s">
        <v>432</v>
      </c>
      <c r="AC132" s="86">
        <v>43164</v>
      </c>
    </row>
    <row r="133" spans="3:29" hidden="1" x14ac:dyDescent="0.35">
      <c r="C133" s="83">
        <v>1235</v>
      </c>
      <c r="D133" s="84" t="s">
        <v>551</v>
      </c>
      <c r="E133" s="84" t="s">
        <v>506</v>
      </c>
      <c r="F133" s="84" t="s">
        <v>442</v>
      </c>
      <c r="AC133" s="86">
        <v>43165</v>
      </c>
    </row>
    <row r="134" spans="3:29" hidden="1" x14ac:dyDescent="0.35">
      <c r="C134" s="83">
        <v>1250</v>
      </c>
      <c r="D134" s="84" t="s">
        <v>552</v>
      </c>
      <c r="E134" s="84" t="s">
        <v>553</v>
      </c>
      <c r="F134" s="84" t="s">
        <v>370</v>
      </c>
      <c r="AC134" s="86">
        <v>43166</v>
      </c>
    </row>
    <row r="135" spans="3:29" hidden="1" x14ac:dyDescent="0.35">
      <c r="C135" s="83">
        <v>1251</v>
      </c>
      <c r="D135" s="84" t="s">
        <v>554</v>
      </c>
      <c r="E135" s="84" t="s">
        <v>509</v>
      </c>
      <c r="F135" s="84" t="s">
        <v>408</v>
      </c>
      <c r="AC135" s="86">
        <v>43167</v>
      </c>
    </row>
    <row r="136" spans="3:29" hidden="1" x14ac:dyDescent="0.35">
      <c r="C136" s="83">
        <v>1262</v>
      </c>
      <c r="D136" s="84" t="s">
        <v>555</v>
      </c>
      <c r="E136" s="84" t="s">
        <v>435</v>
      </c>
      <c r="F136" s="84" t="s">
        <v>432</v>
      </c>
      <c r="AC136" s="86">
        <v>43168</v>
      </c>
    </row>
    <row r="137" spans="3:29" hidden="1" x14ac:dyDescent="0.35">
      <c r="C137" s="83">
        <v>1265</v>
      </c>
      <c r="D137" s="84" t="s">
        <v>556</v>
      </c>
      <c r="E137" s="84" t="s">
        <v>435</v>
      </c>
      <c r="F137" s="84" t="s">
        <v>408</v>
      </c>
      <c r="AC137" s="86">
        <v>43169</v>
      </c>
    </row>
    <row r="138" spans="3:29" hidden="1" x14ac:dyDescent="0.35">
      <c r="C138" s="83">
        <v>1269</v>
      </c>
      <c r="D138" s="84" t="s">
        <v>557</v>
      </c>
      <c r="E138" s="84" t="s">
        <v>558</v>
      </c>
      <c r="F138" s="84" t="s">
        <v>442</v>
      </c>
      <c r="AC138" s="86">
        <v>43170</v>
      </c>
    </row>
    <row r="139" spans="3:29" hidden="1" x14ac:dyDescent="0.35">
      <c r="C139" s="83">
        <v>1270</v>
      </c>
      <c r="D139" s="84" t="s">
        <v>559</v>
      </c>
      <c r="E139" s="84" t="s">
        <v>506</v>
      </c>
      <c r="F139" s="84" t="s">
        <v>442</v>
      </c>
      <c r="AC139" s="86">
        <v>43171</v>
      </c>
    </row>
    <row r="140" spans="3:29" hidden="1" x14ac:dyDescent="0.35">
      <c r="C140" s="83">
        <v>1280</v>
      </c>
      <c r="D140" s="84" t="s">
        <v>560</v>
      </c>
      <c r="E140" s="84" t="s">
        <v>417</v>
      </c>
      <c r="F140" s="84" t="s">
        <v>408</v>
      </c>
      <c r="AC140" s="86">
        <v>43172</v>
      </c>
    </row>
    <row r="141" spans="3:29" hidden="1" x14ac:dyDescent="0.35">
      <c r="C141" s="83">
        <v>1281</v>
      </c>
      <c r="D141" s="84" t="s">
        <v>561</v>
      </c>
      <c r="E141" s="84" t="s">
        <v>464</v>
      </c>
      <c r="F141" s="84" t="s">
        <v>408</v>
      </c>
      <c r="AC141" s="86">
        <v>43173</v>
      </c>
    </row>
    <row r="142" spans="3:29" hidden="1" x14ac:dyDescent="0.35">
      <c r="C142" s="83">
        <v>1283</v>
      </c>
      <c r="D142" s="84" t="s">
        <v>562</v>
      </c>
      <c r="E142" s="84" t="s">
        <v>464</v>
      </c>
      <c r="F142" s="84" t="s">
        <v>563</v>
      </c>
      <c r="AC142" s="86">
        <v>43174</v>
      </c>
    </row>
    <row r="143" spans="3:29" hidden="1" x14ac:dyDescent="0.35">
      <c r="C143" s="83">
        <v>1286</v>
      </c>
      <c r="D143" s="84" t="s">
        <v>564</v>
      </c>
      <c r="E143" s="84" t="s">
        <v>565</v>
      </c>
      <c r="F143" s="84" t="s">
        <v>370</v>
      </c>
      <c r="AC143" s="86">
        <v>43175</v>
      </c>
    </row>
    <row r="144" spans="3:29" hidden="1" x14ac:dyDescent="0.35">
      <c r="C144" s="83">
        <v>1293</v>
      </c>
      <c r="D144" s="84" t="s">
        <v>566</v>
      </c>
      <c r="E144" s="84" t="s">
        <v>482</v>
      </c>
      <c r="F144" s="84" t="s">
        <v>370</v>
      </c>
      <c r="AC144" s="86">
        <v>43176</v>
      </c>
    </row>
    <row r="145" spans="3:29" hidden="1" x14ac:dyDescent="0.35">
      <c r="C145" s="83">
        <v>1301</v>
      </c>
      <c r="D145" s="84" t="s">
        <v>567</v>
      </c>
      <c r="E145" s="84" t="s">
        <v>435</v>
      </c>
      <c r="F145" s="84" t="s">
        <v>432</v>
      </c>
      <c r="AC145" s="86">
        <v>43177</v>
      </c>
    </row>
    <row r="146" spans="3:29" hidden="1" x14ac:dyDescent="0.35">
      <c r="C146" s="83">
        <v>1312</v>
      </c>
      <c r="D146" s="84" t="s">
        <v>568</v>
      </c>
      <c r="E146" s="84" t="s">
        <v>450</v>
      </c>
      <c r="F146" s="84" t="s">
        <v>370</v>
      </c>
      <c r="AC146" s="86">
        <v>43178</v>
      </c>
    </row>
    <row r="147" spans="3:29" hidden="1" x14ac:dyDescent="0.35">
      <c r="C147" s="83">
        <v>1315</v>
      </c>
      <c r="D147" s="84" t="s">
        <v>569</v>
      </c>
      <c r="E147" s="84" t="s">
        <v>545</v>
      </c>
      <c r="F147" s="84" t="s">
        <v>422</v>
      </c>
      <c r="AC147" s="86">
        <v>43179</v>
      </c>
    </row>
    <row r="148" spans="3:29" hidden="1" x14ac:dyDescent="0.35">
      <c r="C148" s="83">
        <v>1316</v>
      </c>
      <c r="D148" s="84" t="s">
        <v>570</v>
      </c>
      <c r="E148" s="84" t="s">
        <v>450</v>
      </c>
      <c r="F148" s="84" t="s">
        <v>370</v>
      </c>
      <c r="AC148" s="86">
        <v>43180</v>
      </c>
    </row>
    <row r="149" spans="3:29" hidden="1" x14ac:dyDescent="0.35">
      <c r="C149" s="83">
        <v>1318</v>
      </c>
      <c r="D149" s="84" t="s">
        <v>571</v>
      </c>
      <c r="E149" s="84" t="s">
        <v>450</v>
      </c>
      <c r="F149" s="84" t="s">
        <v>429</v>
      </c>
      <c r="AC149" s="86">
        <v>43181</v>
      </c>
    </row>
    <row r="150" spans="3:29" hidden="1" x14ac:dyDescent="0.35">
      <c r="C150" s="83">
        <v>1320</v>
      </c>
      <c r="D150" s="84" t="s">
        <v>572</v>
      </c>
      <c r="E150" s="84" t="s">
        <v>450</v>
      </c>
      <c r="F150" s="84" t="s">
        <v>429</v>
      </c>
      <c r="AC150" s="86">
        <v>43182</v>
      </c>
    </row>
    <row r="151" spans="3:29" hidden="1" x14ac:dyDescent="0.35">
      <c r="C151" s="83">
        <v>1321</v>
      </c>
      <c r="D151" s="84" t="s">
        <v>573</v>
      </c>
      <c r="E151" s="84" t="s">
        <v>450</v>
      </c>
      <c r="F151" s="84" t="s">
        <v>370</v>
      </c>
      <c r="AC151" s="86">
        <v>43183</v>
      </c>
    </row>
    <row r="152" spans="3:29" hidden="1" x14ac:dyDescent="0.35">
      <c r="C152" s="83">
        <v>1322</v>
      </c>
      <c r="D152" s="84" t="s">
        <v>574</v>
      </c>
      <c r="E152" s="84" t="s">
        <v>435</v>
      </c>
      <c r="F152" s="84" t="s">
        <v>442</v>
      </c>
      <c r="AC152" s="86">
        <v>43184</v>
      </c>
    </row>
    <row r="153" spans="3:29" hidden="1" x14ac:dyDescent="0.35">
      <c r="C153" s="83">
        <v>1328</v>
      </c>
      <c r="D153" s="84" t="s">
        <v>575</v>
      </c>
      <c r="E153" s="84" t="s">
        <v>450</v>
      </c>
      <c r="F153" s="84" t="s">
        <v>429</v>
      </c>
      <c r="AC153" s="86">
        <v>43185</v>
      </c>
    </row>
    <row r="154" spans="3:29" hidden="1" x14ac:dyDescent="0.35">
      <c r="C154" s="83">
        <v>1330</v>
      </c>
      <c r="D154" s="84" t="s">
        <v>576</v>
      </c>
      <c r="E154" s="84" t="s">
        <v>450</v>
      </c>
      <c r="F154" s="84" t="s">
        <v>429</v>
      </c>
      <c r="AC154" s="86">
        <v>43186</v>
      </c>
    </row>
    <row r="155" spans="3:29" hidden="1" x14ac:dyDescent="0.35">
      <c r="C155" s="83">
        <v>1332</v>
      </c>
      <c r="D155" s="84" t="s">
        <v>577</v>
      </c>
      <c r="E155" s="84" t="s">
        <v>450</v>
      </c>
      <c r="F155" s="84" t="s">
        <v>429</v>
      </c>
      <c r="AC155" s="86">
        <v>43187</v>
      </c>
    </row>
    <row r="156" spans="3:29" hidden="1" x14ac:dyDescent="0.35">
      <c r="C156" s="83">
        <v>1336</v>
      </c>
      <c r="D156" s="84" t="s">
        <v>578</v>
      </c>
      <c r="E156" s="84" t="s">
        <v>450</v>
      </c>
      <c r="F156" s="84" t="s">
        <v>429</v>
      </c>
      <c r="AC156" s="86">
        <v>43188</v>
      </c>
    </row>
    <row r="157" spans="3:29" hidden="1" x14ac:dyDescent="0.35">
      <c r="C157" s="83">
        <v>1339</v>
      </c>
      <c r="D157" s="84" t="s">
        <v>579</v>
      </c>
      <c r="E157" s="84" t="s">
        <v>450</v>
      </c>
      <c r="F157" s="84" t="s">
        <v>429</v>
      </c>
      <c r="AC157" s="86">
        <v>43189</v>
      </c>
    </row>
    <row r="158" spans="3:29" hidden="1" x14ac:dyDescent="0.35">
      <c r="C158" s="83">
        <v>1342</v>
      </c>
      <c r="D158" s="84" t="s">
        <v>580</v>
      </c>
      <c r="E158" s="84" t="s">
        <v>581</v>
      </c>
      <c r="F158" s="84" t="s">
        <v>422</v>
      </c>
      <c r="AC158" s="86">
        <v>43190</v>
      </c>
    </row>
    <row r="159" spans="3:29" hidden="1" x14ac:dyDescent="0.35">
      <c r="C159" s="83">
        <v>1343</v>
      </c>
      <c r="D159" s="84" t="s">
        <v>582</v>
      </c>
      <c r="E159" s="84" t="s">
        <v>450</v>
      </c>
      <c r="F159" s="84" t="s">
        <v>432</v>
      </c>
      <c r="AC159" s="86">
        <v>43191</v>
      </c>
    </row>
    <row r="160" spans="3:29" hidden="1" x14ac:dyDescent="0.35">
      <c r="C160" s="83">
        <v>1345</v>
      </c>
      <c r="D160" s="84" t="s">
        <v>583</v>
      </c>
      <c r="E160" s="84" t="s">
        <v>450</v>
      </c>
      <c r="F160" s="84" t="s">
        <v>429</v>
      </c>
      <c r="AC160" s="86">
        <v>43192</v>
      </c>
    </row>
    <row r="161" spans="3:29" hidden="1" x14ac:dyDescent="0.35">
      <c r="C161" s="83">
        <v>1350</v>
      </c>
      <c r="D161" s="84" t="s">
        <v>584</v>
      </c>
      <c r="E161" s="84" t="s">
        <v>450</v>
      </c>
      <c r="F161" s="84" t="s">
        <v>432</v>
      </c>
      <c r="AC161" s="86">
        <v>43193</v>
      </c>
    </row>
    <row r="162" spans="3:29" hidden="1" x14ac:dyDescent="0.35">
      <c r="C162" s="83">
        <v>1360</v>
      </c>
      <c r="D162" s="84" t="s">
        <v>585</v>
      </c>
      <c r="E162" s="84" t="s">
        <v>435</v>
      </c>
      <c r="F162" s="84" t="s">
        <v>442</v>
      </c>
      <c r="AC162" s="86">
        <v>43194</v>
      </c>
    </row>
    <row r="163" spans="3:29" hidden="1" x14ac:dyDescent="0.35">
      <c r="C163" s="83">
        <v>1367</v>
      </c>
      <c r="D163" s="84" t="s">
        <v>586</v>
      </c>
      <c r="E163" s="84" t="s">
        <v>531</v>
      </c>
      <c r="F163" s="84" t="s">
        <v>422</v>
      </c>
      <c r="AC163" s="86">
        <v>43195</v>
      </c>
    </row>
    <row r="164" spans="3:29" hidden="1" x14ac:dyDescent="0.35">
      <c r="C164" s="83">
        <v>1371</v>
      </c>
      <c r="D164" s="84" t="s">
        <v>587</v>
      </c>
      <c r="E164" s="84" t="s">
        <v>450</v>
      </c>
      <c r="F164" s="84" t="s">
        <v>429</v>
      </c>
      <c r="AC164" s="86">
        <v>43196</v>
      </c>
    </row>
    <row r="165" spans="3:29" hidden="1" x14ac:dyDescent="0.35">
      <c r="C165" s="83">
        <v>1380</v>
      </c>
      <c r="D165" s="84" t="s">
        <v>588</v>
      </c>
      <c r="E165" s="84" t="s">
        <v>450</v>
      </c>
      <c r="F165" s="84" t="s">
        <v>432</v>
      </c>
      <c r="AC165" s="86">
        <v>43197</v>
      </c>
    </row>
    <row r="166" spans="3:29" hidden="1" x14ac:dyDescent="0.35">
      <c r="C166" s="83">
        <v>1384</v>
      </c>
      <c r="D166" s="84" t="s">
        <v>589</v>
      </c>
      <c r="E166" s="84" t="s">
        <v>428</v>
      </c>
      <c r="F166" s="84" t="s">
        <v>413</v>
      </c>
      <c r="AC166" s="86">
        <v>43198</v>
      </c>
    </row>
    <row r="167" spans="3:29" hidden="1" x14ac:dyDescent="0.35">
      <c r="C167" s="83">
        <v>1385</v>
      </c>
      <c r="D167" s="84" t="s">
        <v>590</v>
      </c>
      <c r="E167" s="84" t="s">
        <v>450</v>
      </c>
      <c r="F167" s="84" t="s">
        <v>432</v>
      </c>
      <c r="AC167" s="86">
        <v>43199</v>
      </c>
    </row>
    <row r="168" spans="3:29" hidden="1" x14ac:dyDescent="0.35">
      <c r="C168" s="83">
        <v>1386</v>
      </c>
      <c r="D168" s="84" t="s">
        <v>591</v>
      </c>
      <c r="E168" s="84" t="s">
        <v>428</v>
      </c>
      <c r="F168" s="84" t="s">
        <v>432</v>
      </c>
      <c r="AC168" s="86">
        <v>43200</v>
      </c>
    </row>
    <row r="169" spans="3:29" hidden="1" x14ac:dyDescent="0.35">
      <c r="C169" s="83">
        <v>1387</v>
      </c>
      <c r="D169" s="84" t="s">
        <v>592</v>
      </c>
      <c r="E169" s="84" t="s">
        <v>445</v>
      </c>
      <c r="F169" s="84" t="s">
        <v>442</v>
      </c>
      <c r="AC169" s="86">
        <v>43201</v>
      </c>
    </row>
    <row r="170" spans="3:29" hidden="1" x14ac:dyDescent="0.35">
      <c r="C170" s="83">
        <v>1388</v>
      </c>
      <c r="D170" s="84" t="s">
        <v>593</v>
      </c>
      <c r="E170" s="84" t="s">
        <v>469</v>
      </c>
      <c r="F170" s="84" t="s">
        <v>413</v>
      </c>
      <c r="AC170" s="86">
        <v>43202</v>
      </c>
    </row>
    <row r="171" spans="3:29" hidden="1" x14ac:dyDescent="0.35">
      <c r="C171" s="83">
        <v>1390</v>
      </c>
      <c r="D171" s="84" t="s">
        <v>594</v>
      </c>
      <c r="E171" s="84" t="s">
        <v>198</v>
      </c>
      <c r="F171" s="84" t="s">
        <v>408</v>
      </c>
      <c r="AC171" s="86">
        <v>43203</v>
      </c>
    </row>
    <row r="172" spans="3:29" hidden="1" x14ac:dyDescent="0.35">
      <c r="C172" s="83">
        <v>1398</v>
      </c>
      <c r="D172" s="84" t="s">
        <v>595</v>
      </c>
      <c r="E172" s="84" t="s">
        <v>455</v>
      </c>
      <c r="F172" s="84" t="s">
        <v>429</v>
      </c>
      <c r="AC172" s="86">
        <v>43204</v>
      </c>
    </row>
    <row r="173" spans="3:29" hidden="1" x14ac:dyDescent="0.35">
      <c r="C173" s="83">
        <v>1402</v>
      </c>
      <c r="D173" s="84" t="s">
        <v>596</v>
      </c>
      <c r="E173" s="84" t="s">
        <v>597</v>
      </c>
      <c r="F173" s="84" t="s">
        <v>563</v>
      </c>
      <c r="AC173" s="86">
        <v>43205</v>
      </c>
    </row>
    <row r="174" spans="3:29" hidden="1" x14ac:dyDescent="0.35">
      <c r="C174" s="83">
        <v>1407</v>
      </c>
      <c r="D174" s="84" t="s">
        <v>598</v>
      </c>
      <c r="E174" s="84" t="s">
        <v>371</v>
      </c>
      <c r="F174" s="84" t="s">
        <v>370</v>
      </c>
      <c r="AC174" s="86">
        <v>43206</v>
      </c>
    </row>
    <row r="175" spans="3:29" hidden="1" x14ac:dyDescent="0.35">
      <c r="C175" s="83">
        <v>1417</v>
      </c>
      <c r="D175" s="84" t="s">
        <v>599</v>
      </c>
      <c r="E175" s="84" t="s">
        <v>464</v>
      </c>
      <c r="F175" s="84" t="s">
        <v>370</v>
      </c>
      <c r="AC175" s="86">
        <v>43207</v>
      </c>
    </row>
    <row r="176" spans="3:29" hidden="1" x14ac:dyDescent="0.35">
      <c r="C176" s="83">
        <v>1419</v>
      </c>
      <c r="D176" s="84" t="s">
        <v>600</v>
      </c>
      <c r="E176" s="84" t="s">
        <v>450</v>
      </c>
      <c r="F176" s="84" t="s">
        <v>432</v>
      </c>
      <c r="AC176" s="86">
        <v>43208</v>
      </c>
    </row>
    <row r="177" spans="3:29" hidden="1" x14ac:dyDescent="0.35">
      <c r="C177" s="83">
        <v>1422</v>
      </c>
      <c r="D177" s="84" t="s">
        <v>601</v>
      </c>
      <c r="E177" s="84" t="s">
        <v>602</v>
      </c>
      <c r="F177" s="84" t="s">
        <v>370</v>
      </c>
      <c r="AC177" s="86">
        <v>43209</v>
      </c>
    </row>
    <row r="178" spans="3:29" hidden="1" x14ac:dyDescent="0.35">
      <c r="C178" s="83">
        <v>1428</v>
      </c>
      <c r="D178" s="84" t="s">
        <v>603</v>
      </c>
      <c r="E178" s="84" t="s">
        <v>604</v>
      </c>
      <c r="F178" s="84" t="s">
        <v>442</v>
      </c>
      <c r="AC178" s="86">
        <v>43210</v>
      </c>
    </row>
    <row r="179" spans="3:29" hidden="1" x14ac:dyDescent="0.35">
      <c r="C179" s="83">
        <v>1431</v>
      </c>
      <c r="D179" s="84" t="s">
        <v>605</v>
      </c>
      <c r="E179" s="84" t="s">
        <v>407</v>
      </c>
      <c r="F179" s="84" t="s">
        <v>370</v>
      </c>
      <c r="AC179" s="86">
        <v>43211</v>
      </c>
    </row>
    <row r="180" spans="3:29" hidden="1" x14ac:dyDescent="0.35">
      <c r="C180" s="83">
        <v>1432</v>
      </c>
      <c r="D180" s="84" t="s">
        <v>606</v>
      </c>
      <c r="E180" s="84" t="s">
        <v>417</v>
      </c>
      <c r="F180" s="84" t="s">
        <v>370</v>
      </c>
      <c r="AC180" s="86">
        <v>43212</v>
      </c>
    </row>
    <row r="181" spans="3:29" hidden="1" x14ac:dyDescent="0.35">
      <c r="C181" s="83">
        <v>1434</v>
      </c>
      <c r="D181" s="84" t="s">
        <v>607</v>
      </c>
      <c r="E181" s="84" t="s">
        <v>455</v>
      </c>
      <c r="F181" s="84" t="s">
        <v>432</v>
      </c>
      <c r="AC181" s="86">
        <v>43213</v>
      </c>
    </row>
    <row r="182" spans="3:29" hidden="1" x14ac:dyDescent="0.35">
      <c r="C182" s="83">
        <v>1444</v>
      </c>
      <c r="D182" s="84" t="s">
        <v>608</v>
      </c>
      <c r="E182" s="84" t="s">
        <v>455</v>
      </c>
      <c r="F182" s="84" t="s">
        <v>432</v>
      </c>
      <c r="AC182" s="86">
        <v>43214</v>
      </c>
    </row>
    <row r="183" spans="3:29" hidden="1" x14ac:dyDescent="0.35">
      <c r="C183" s="83">
        <v>1449</v>
      </c>
      <c r="D183" s="84" t="s">
        <v>609</v>
      </c>
      <c r="E183" s="84" t="s">
        <v>450</v>
      </c>
      <c r="F183" s="84" t="s">
        <v>442</v>
      </c>
      <c r="AC183" s="86">
        <v>43215</v>
      </c>
    </row>
    <row r="184" spans="3:29" hidden="1" x14ac:dyDescent="0.35">
      <c r="C184" s="83">
        <v>1454</v>
      </c>
      <c r="D184" s="84" t="s">
        <v>610</v>
      </c>
      <c r="E184" s="84" t="s">
        <v>450</v>
      </c>
      <c r="F184" s="84" t="s">
        <v>429</v>
      </c>
      <c r="AC184" s="86">
        <v>43216</v>
      </c>
    </row>
    <row r="185" spans="3:29" hidden="1" x14ac:dyDescent="0.35">
      <c r="C185" s="83">
        <v>1457</v>
      </c>
      <c r="D185" s="84" t="s">
        <v>611</v>
      </c>
      <c r="E185" s="84" t="s">
        <v>371</v>
      </c>
      <c r="F185" s="84" t="s">
        <v>408</v>
      </c>
      <c r="AC185" s="86">
        <v>43217</v>
      </c>
    </row>
    <row r="186" spans="3:29" hidden="1" x14ac:dyDescent="0.35">
      <c r="C186" s="83">
        <v>1460</v>
      </c>
      <c r="D186" s="84" t="s">
        <v>612</v>
      </c>
      <c r="E186" s="84" t="s">
        <v>450</v>
      </c>
      <c r="F186" s="84" t="s">
        <v>432</v>
      </c>
      <c r="AC186" s="86">
        <v>43218</v>
      </c>
    </row>
    <row r="187" spans="3:29" hidden="1" x14ac:dyDescent="0.35">
      <c r="C187" s="83">
        <v>1463</v>
      </c>
      <c r="D187" s="84" t="s">
        <v>613</v>
      </c>
      <c r="E187" s="84" t="s">
        <v>450</v>
      </c>
      <c r="F187" s="84" t="s">
        <v>432</v>
      </c>
      <c r="AC187" s="86">
        <v>43219</v>
      </c>
    </row>
    <row r="188" spans="3:29" hidden="1" x14ac:dyDescent="0.35">
      <c r="C188" s="83">
        <v>1465</v>
      </c>
      <c r="D188" s="84" t="s">
        <v>614</v>
      </c>
      <c r="E188" s="84" t="s">
        <v>435</v>
      </c>
      <c r="F188" s="84" t="s">
        <v>442</v>
      </c>
      <c r="AC188" s="86">
        <v>43220</v>
      </c>
    </row>
    <row r="189" spans="3:29" hidden="1" x14ac:dyDescent="0.35">
      <c r="C189" s="83">
        <v>1466</v>
      </c>
      <c r="D189" s="84" t="s">
        <v>615</v>
      </c>
      <c r="E189" s="84" t="s">
        <v>509</v>
      </c>
      <c r="F189" s="84" t="s">
        <v>370</v>
      </c>
      <c r="AC189" s="86">
        <v>43221</v>
      </c>
    </row>
    <row r="190" spans="3:29" hidden="1" x14ac:dyDescent="0.35">
      <c r="C190" s="83">
        <v>1472</v>
      </c>
      <c r="D190" s="84" t="s">
        <v>616</v>
      </c>
      <c r="E190" s="84" t="s">
        <v>469</v>
      </c>
      <c r="F190" s="84" t="s">
        <v>413</v>
      </c>
      <c r="AC190" s="86">
        <v>43222</v>
      </c>
    </row>
    <row r="191" spans="3:29" hidden="1" x14ac:dyDescent="0.35">
      <c r="C191" s="83">
        <v>1477</v>
      </c>
      <c r="D191" s="84" t="s">
        <v>617</v>
      </c>
      <c r="E191" s="84" t="s">
        <v>545</v>
      </c>
      <c r="F191" s="84" t="s">
        <v>432</v>
      </c>
      <c r="AC191" s="86">
        <v>43223</v>
      </c>
    </row>
    <row r="192" spans="3:29" hidden="1" x14ac:dyDescent="0.35">
      <c r="C192" s="83">
        <v>1479</v>
      </c>
      <c r="D192" s="84" t="s">
        <v>618</v>
      </c>
      <c r="E192" s="84" t="s">
        <v>412</v>
      </c>
      <c r="F192" s="84" t="s">
        <v>370</v>
      </c>
      <c r="AC192" s="86">
        <v>43224</v>
      </c>
    </row>
    <row r="193" spans="3:29" hidden="1" x14ac:dyDescent="0.35">
      <c r="C193" s="83">
        <v>1481</v>
      </c>
      <c r="D193" s="84" t="s">
        <v>619</v>
      </c>
      <c r="E193" s="84" t="s">
        <v>553</v>
      </c>
      <c r="F193" s="84" t="s">
        <v>370</v>
      </c>
      <c r="AC193" s="86">
        <v>43225</v>
      </c>
    </row>
    <row r="194" spans="3:29" hidden="1" x14ac:dyDescent="0.35">
      <c r="C194" s="83">
        <v>1487</v>
      </c>
      <c r="D194" s="84" t="s">
        <v>620</v>
      </c>
      <c r="E194" s="84" t="s">
        <v>621</v>
      </c>
      <c r="F194" s="84" t="s">
        <v>442</v>
      </c>
      <c r="AC194" s="86">
        <v>43226</v>
      </c>
    </row>
    <row r="195" spans="3:29" hidden="1" x14ac:dyDescent="0.35">
      <c r="C195" s="83">
        <v>1488</v>
      </c>
      <c r="D195" s="84" t="s">
        <v>622</v>
      </c>
      <c r="E195" s="84" t="s">
        <v>464</v>
      </c>
      <c r="F195" s="84" t="s">
        <v>408</v>
      </c>
      <c r="AC195" s="86">
        <v>43227</v>
      </c>
    </row>
    <row r="196" spans="3:29" hidden="1" x14ac:dyDescent="0.35">
      <c r="C196" s="83">
        <v>1489</v>
      </c>
      <c r="D196" s="84" t="s">
        <v>623</v>
      </c>
      <c r="E196" s="84" t="s">
        <v>518</v>
      </c>
      <c r="F196" s="84" t="s">
        <v>442</v>
      </c>
      <c r="AC196" s="86">
        <v>43228</v>
      </c>
    </row>
    <row r="197" spans="3:29" hidden="1" x14ac:dyDescent="0.35">
      <c r="C197" s="83">
        <v>1490</v>
      </c>
      <c r="D197" s="84" t="s">
        <v>624</v>
      </c>
      <c r="E197" s="84" t="s">
        <v>625</v>
      </c>
      <c r="F197" s="84" t="s">
        <v>442</v>
      </c>
      <c r="AC197" s="86">
        <v>43229</v>
      </c>
    </row>
    <row r="198" spans="3:29" hidden="1" x14ac:dyDescent="0.35">
      <c r="C198" s="83">
        <v>1491</v>
      </c>
      <c r="D198" s="84" t="s">
        <v>626</v>
      </c>
      <c r="E198" s="84" t="s">
        <v>625</v>
      </c>
      <c r="F198" s="84" t="s">
        <v>408</v>
      </c>
      <c r="AC198" s="86">
        <v>43230</v>
      </c>
    </row>
    <row r="199" spans="3:29" hidden="1" x14ac:dyDescent="0.35">
      <c r="C199" s="83">
        <v>1492</v>
      </c>
      <c r="D199" s="84" t="s">
        <v>627</v>
      </c>
      <c r="E199" s="84" t="s">
        <v>435</v>
      </c>
      <c r="F199" s="84" t="s">
        <v>418</v>
      </c>
      <c r="AC199" s="86">
        <v>43231</v>
      </c>
    </row>
    <row r="200" spans="3:29" hidden="1" x14ac:dyDescent="0.35">
      <c r="C200" s="83">
        <v>1493</v>
      </c>
      <c r="D200" s="84" t="s">
        <v>628</v>
      </c>
      <c r="E200" s="84" t="s">
        <v>629</v>
      </c>
      <c r="F200" s="84" t="s">
        <v>408</v>
      </c>
      <c r="AC200" s="86">
        <v>43232</v>
      </c>
    </row>
    <row r="201" spans="3:29" hidden="1" x14ac:dyDescent="0.35">
      <c r="C201" s="83">
        <v>1495</v>
      </c>
      <c r="D201" s="84" t="s">
        <v>630</v>
      </c>
      <c r="E201" s="84" t="s">
        <v>553</v>
      </c>
      <c r="F201" s="84" t="s">
        <v>442</v>
      </c>
      <c r="AC201" s="86">
        <v>43233</v>
      </c>
    </row>
    <row r="202" spans="3:29" hidden="1" x14ac:dyDescent="0.35">
      <c r="C202" s="83">
        <v>1496</v>
      </c>
      <c r="D202" s="84" t="s">
        <v>631</v>
      </c>
      <c r="E202" s="84" t="s">
        <v>435</v>
      </c>
      <c r="F202" s="84" t="s">
        <v>408</v>
      </c>
      <c r="AC202" s="86">
        <v>43234</v>
      </c>
    </row>
    <row r="203" spans="3:29" hidden="1" x14ac:dyDescent="0.35">
      <c r="C203" s="83">
        <v>1500</v>
      </c>
      <c r="D203" s="84" t="s">
        <v>632</v>
      </c>
      <c r="E203" s="84" t="s">
        <v>621</v>
      </c>
      <c r="F203" s="84" t="s">
        <v>422</v>
      </c>
      <c r="AC203" s="86">
        <v>43235</v>
      </c>
    </row>
    <row r="204" spans="3:29" hidden="1" x14ac:dyDescent="0.35">
      <c r="C204" s="83">
        <v>1503</v>
      </c>
      <c r="D204" s="84" t="s">
        <v>633</v>
      </c>
      <c r="E204" s="84" t="s">
        <v>455</v>
      </c>
      <c r="F204" s="84" t="s">
        <v>425</v>
      </c>
      <c r="AC204" s="86">
        <v>43236</v>
      </c>
    </row>
    <row r="205" spans="3:29" hidden="1" x14ac:dyDescent="0.35">
      <c r="C205" s="83">
        <v>1504</v>
      </c>
      <c r="D205" s="84" t="s">
        <v>634</v>
      </c>
      <c r="E205" s="84" t="s">
        <v>435</v>
      </c>
      <c r="F205" s="84" t="s">
        <v>425</v>
      </c>
      <c r="AC205" s="86">
        <v>43237</v>
      </c>
    </row>
    <row r="206" spans="3:29" hidden="1" x14ac:dyDescent="0.35">
      <c r="C206" s="83">
        <v>1506</v>
      </c>
      <c r="D206" s="84" t="s">
        <v>635</v>
      </c>
      <c r="E206" s="84" t="s">
        <v>445</v>
      </c>
      <c r="F206" s="84" t="s">
        <v>370</v>
      </c>
      <c r="AC206" s="86">
        <v>43238</v>
      </c>
    </row>
    <row r="207" spans="3:29" hidden="1" x14ac:dyDescent="0.35">
      <c r="C207" s="83">
        <v>1509</v>
      </c>
      <c r="D207" s="84" t="s">
        <v>636</v>
      </c>
      <c r="E207" s="84" t="s">
        <v>455</v>
      </c>
      <c r="F207" s="84" t="s">
        <v>432</v>
      </c>
      <c r="AC207" s="86">
        <v>43239</v>
      </c>
    </row>
    <row r="208" spans="3:29" hidden="1" x14ac:dyDescent="0.35">
      <c r="C208" s="83">
        <v>1510</v>
      </c>
      <c r="D208" s="84" t="s">
        <v>637</v>
      </c>
      <c r="E208" s="84" t="s">
        <v>455</v>
      </c>
      <c r="F208" s="84" t="s">
        <v>425</v>
      </c>
      <c r="AC208" s="86">
        <v>43240</v>
      </c>
    </row>
    <row r="209" spans="3:29" hidden="1" x14ac:dyDescent="0.35">
      <c r="C209" s="83">
        <v>1511</v>
      </c>
      <c r="D209" s="84" t="s">
        <v>638</v>
      </c>
      <c r="E209" s="84" t="s">
        <v>450</v>
      </c>
      <c r="F209" s="84" t="s">
        <v>432</v>
      </c>
      <c r="AC209" s="86">
        <v>43241</v>
      </c>
    </row>
    <row r="210" spans="3:29" hidden="1" x14ac:dyDescent="0.35">
      <c r="C210" s="83">
        <v>1514</v>
      </c>
      <c r="D210" s="84" t="s">
        <v>639</v>
      </c>
      <c r="E210" s="84" t="s">
        <v>464</v>
      </c>
      <c r="F210" s="84" t="s">
        <v>370</v>
      </c>
      <c r="AC210" s="86">
        <v>43242</v>
      </c>
    </row>
    <row r="211" spans="3:29" hidden="1" x14ac:dyDescent="0.35">
      <c r="C211" s="83">
        <v>1517</v>
      </c>
      <c r="D211" s="84" t="s">
        <v>640</v>
      </c>
      <c r="E211" s="84" t="s">
        <v>455</v>
      </c>
      <c r="F211" s="84" t="s">
        <v>432</v>
      </c>
      <c r="AC211" s="86">
        <v>43243</v>
      </c>
    </row>
    <row r="212" spans="3:29" hidden="1" x14ac:dyDescent="0.35">
      <c r="C212" s="83">
        <v>1518</v>
      </c>
      <c r="D212" s="84" t="s">
        <v>641</v>
      </c>
      <c r="E212" s="84" t="s">
        <v>558</v>
      </c>
      <c r="F212" s="84" t="s">
        <v>442</v>
      </c>
      <c r="AC212" s="86">
        <v>43244</v>
      </c>
    </row>
    <row r="213" spans="3:29" hidden="1" x14ac:dyDescent="0.35">
      <c r="C213" s="83">
        <v>1520</v>
      </c>
      <c r="D213" s="84" t="s">
        <v>642</v>
      </c>
      <c r="E213" s="84" t="s">
        <v>445</v>
      </c>
      <c r="F213" s="84" t="s">
        <v>422</v>
      </c>
      <c r="AC213" s="86">
        <v>43245</v>
      </c>
    </row>
    <row r="214" spans="3:29" hidden="1" x14ac:dyDescent="0.35">
      <c r="C214" s="83">
        <v>1521</v>
      </c>
      <c r="D214" s="84" t="s">
        <v>643</v>
      </c>
      <c r="E214" s="84" t="s">
        <v>495</v>
      </c>
      <c r="F214" s="84" t="s">
        <v>442</v>
      </c>
      <c r="AC214" s="86">
        <v>43246</v>
      </c>
    </row>
    <row r="215" spans="3:29" hidden="1" x14ac:dyDescent="0.35">
      <c r="C215" s="83">
        <v>1527</v>
      </c>
      <c r="D215" s="84" t="s">
        <v>644</v>
      </c>
      <c r="E215" s="84" t="s">
        <v>645</v>
      </c>
      <c r="F215" s="84" t="s">
        <v>370</v>
      </c>
      <c r="AC215" s="86">
        <v>43247</v>
      </c>
    </row>
    <row r="216" spans="3:29" hidden="1" x14ac:dyDescent="0.35">
      <c r="C216" s="83">
        <v>1528</v>
      </c>
      <c r="D216" s="84" t="s">
        <v>646</v>
      </c>
      <c r="E216" s="84" t="s">
        <v>445</v>
      </c>
      <c r="F216" s="84" t="s">
        <v>442</v>
      </c>
      <c r="AC216" s="86">
        <v>43248</v>
      </c>
    </row>
    <row r="217" spans="3:29" hidden="1" x14ac:dyDescent="0.35">
      <c r="C217" s="83">
        <v>1529</v>
      </c>
      <c r="D217" s="84" t="s">
        <v>647</v>
      </c>
      <c r="E217" s="84" t="s">
        <v>648</v>
      </c>
      <c r="F217" s="84" t="s">
        <v>370</v>
      </c>
      <c r="AC217" s="86">
        <v>43249</v>
      </c>
    </row>
    <row r="218" spans="3:29" hidden="1" x14ac:dyDescent="0.35">
      <c r="C218" s="83">
        <v>1532</v>
      </c>
      <c r="D218" s="84" t="s">
        <v>649</v>
      </c>
      <c r="E218" s="84" t="s">
        <v>545</v>
      </c>
      <c r="F218" s="84" t="s">
        <v>370</v>
      </c>
      <c r="AC218" s="86">
        <v>43250</v>
      </c>
    </row>
    <row r="219" spans="3:29" hidden="1" x14ac:dyDescent="0.35">
      <c r="C219" s="83">
        <v>1534</v>
      </c>
      <c r="D219" s="84" t="s">
        <v>650</v>
      </c>
      <c r="E219" s="84" t="s">
        <v>482</v>
      </c>
      <c r="F219" s="84" t="s">
        <v>442</v>
      </c>
      <c r="AC219" s="86">
        <v>43251</v>
      </c>
    </row>
    <row r="220" spans="3:29" hidden="1" x14ac:dyDescent="0.35">
      <c r="C220" s="83">
        <v>1535</v>
      </c>
      <c r="D220" s="84" t="s">
        <v>651</v>
      </c>
      <c r="E220" s="84" t="s">
        <v>450</v>
      </c>
      <c r="F220" s="84" t="s">
        <v>432</v>
      </c>
      <c r="AC220" s="86">
        <v>43252</v>
      </c>
    </row>
    <row r="221" spans="3:29" hidden="1" x14ac:dyDescent="0.35">
      <c r="C221" s="83">
        <v>1540</v>
      </c>
      <c r="D221" s="84" t="s">
        <v>652</v>
      </c>
      <c r="E221" s="84" t="s">
        <v>553</v>
      </c>
      <c r="F221" s="84" t="s">
        <v>442</v>
      </c>
      <c r="AC221" s="86">
        <v>43253</v>
      </c>
    </row>
    <row r="222" spans="3:29" hidden="1" x14ac:dyDescent="0.35">
      <c r="C222" s="83">
        <v>1541</v>
      </c>
      <c r="D222" s="84" t="s">
        <v>653</v>
      </c>
      <c r="E222" s="84" t="s">
        <v>371</v>
      </c>
      <c r="F222" s="84" t="s">
        <v>408</v>
      </c>
      <c r="AC222" s="86">
        <v>43254</v>
      </c>
    </row>
    <row r="223" spans="3:29" hidden="1" x14ac:dyDescent="0.35">
      <c r="C223" s="83">
        <v>1544</v>
      </c>
      <c r="D223" s="84" t="s">
        <v>654</v>
      </c>
      <c r="E223" s="84" t="s">
        <v>506</v>
      </c>
      <c r="F223" s="84" t="s">
        <v>442</v>
      </c>
      <c r="AC223" s="86">
        <v>43255</v>
      </c>
    </row>
    <row r="224" spans="3:29" hidden="1" x14ac:dyDescent="0.35">
      <c r="C224" s="83">
        <v>1545</v>
      </c>
      <c r="D224" s="84" t="s">
        <v>655</v>
      </c>
      <c r="E224" s="84" t="s">
        <v>604</v>
      </c>
      <c r="F224" s="84" t="s">
        <v>370</v>
      </c>
      <c r="AC224" s="86">
        <v>43256</v>
      </c>
    </row>
    <row r="225" spans="3:29" hidden="1" x14ac:dyDescent="0.35">
      <c r="C225" s="83">
        <v>1551</v>
      </c>
      <c r="D225" s="84" t="s">
        <v>656</v>
      </c>
      <c r="E225" s="84" t="s">
        <v>621</v>
      </c>
      <c r="F225" s="84" t="s">
        <v>370</v>
      </c>
      <c r="AC225" s="86">
        <v>43257</v>
      </c>
    </row>
    <row r="226" spans="3:29" hidden="1" x14ac:dyDescent="0.35">
      <c r="C226" s="83">
        <v>1552</v>
      </c>
      <c r="D226" s="84" t="s">
        <v>657</v>
      </c>
      <c r="E226" s="84" t="s">
        <v>417</v>
      </c>
      <c r="F226" s="84" t="s">
        <v>408</v>
      </c>
      <c r="AC226" s="86">
        <v>43258</v>
      </c>
    </row>
    <row r="227" spans="3:29" hidden="1" x14ac:dyDescent="0.35">
      <c r="C227" s="83">
        <v>1559</v>
      </c>
      <c r="D227" s="84" t="s">
        <v>658</v>
      </c>
      <c r="E227" s="84" t="s">
        <v>659</v>
      </c>
      <c r="F227" s="84" t="s">
        <v>442</v>
      </c>
      <c r="AC227" s="86">
        <v>43259</v>
      </c>
    </row>
    <row r="228" spans="3:29" hidden="1" x14ac:dyDescent="0.35">
      <c r="C228" s="83">
        <v>1560</v>
      </c>
      <c r="D228" s="84" t="s">
        <v>660</v>
      </c>
      <c r="E228" s="84" t="s">
        <v>621</v>
      </c>
      <c r="F228" s="84" t="s">
        <v>442</v>
      </c>
      <c r="AC228" s="86">
        <v>43260</v>
      </c>
    </row>
    <row r="229" spans="3:29" hidden="1" x14ac:dyDescent="0.35">
      <c r="C229" s="83">
        <v>1563</v>
      </c>
      <c r="D229" s="84" t="s">
        <v>661</v>
      </c>
      <c r="E229" s="84" t="s">
        <v>435</v>
      </c>
      <c r="F229" s="84" t="s">
        <v>432</v>
      </c>
      <c r="AC229" s="86">
        <v>43261</v>
      </c>
    </row>
    <row r="230" spans="3:29" hidden="1" x14ac:dyDescent="0.35">
      <c r="C230" s="83">
        <v>1566</v>
      </c>
      <c r="D230" s="84" t="s">
        <v>662</v>
      </c>
      <c r="E230" s="84" t="s">
        <v>506</v>
      </c>
      <c r="F230" s="84" t="s">
        <v>442</v>
      </c>
      <c r="AC230" s="86">
        <v>43262</v>
      </c>
    </row>
    <row r="231" spans="3:29" hidden="1" x14ac:dyDescent="0.35">
      <c r="C231" s="83">
        <v>1575</v>
      </c>
      <c r="D231" s="84" t="s">
        <v>663</v>
      </c>
      <c r="E231" s="84" t="s">
        <v>455</v>
      </c>
      <c r="F231" s="84" t="s">
        <v>432</v>
      </c>
      <c r="AC231" s="86">
        <v>43263</v>
      </c>
    </row>
    <row r="232" spans="3:29" hidden="1" x14ac:dyDescent="0.35">
      <c r="C232" s="83">
        <v>1577</v>
      </c>
      <c r="D232" s="84" t="s">
        <v>664</v>
      </c>
      <c r="E232" s="84" t="s">
        <v>665</v>
      </c>
      <c r="F232" s="84" t="s">
        <v>442</v>
      </c>
      <c r="AC232" s="86">
        <v>43264</v>
      </c>
    </row>
    <row r="233" spans="3:29" hidden="1" x14ac:dyDescent="0.35">
      <c r="C233" s="83">
        <v>1578</v>
      </c>
      <c r="D233" s="84" t="s">
        <v>666</v>
      </c>
      <c r="E233" s="84" t="s">
        <v>509</v>
      </c>
      <c r="F233" s="84" t="s">
        <v>413</v>
      </c>
      <c r="AC233" s="86">
        <v>43265</v>
      </c>
    </row>
    <row r="234" spans="3:29" hidden="1" x14ac:dyDescent="0.35">
      <c r="C234" s="83">
        <v>1580</v>
      </c>
      <c r="D234" s="84" t="s">
        <v>667</v>
      </c>
      <c r="E234" s="84" t="s">
        <v>435</v>
      </c>
      <c r="F234" s="84" t="s">
        <v>370</v>
      </c>
      <c r="AC234" s="86">
        <v>43266</v>
      </c>
    </row>
    <row r="235" spans="3:29" hidden="1" x14ac:dyDescent="0.35">
      <c r="C235" s="83">
        <v>1582</v>
      </c>
      <c r="D235" s="84" t="s">
        <v>668</v>
      </c>
      <c r="E235" s="84" t="s">
        <v>450</v>
      </c>
      <c r="F235" s="84" t="s">
        <v>432</v>
      </c>
      <c r="AC235" s="86">
        <v>43267</v>
      </c>
    </row>
    <row r="236" spans="3:29" hidden="1" x14ac:dyDescent="0.35">
      <c r="C236" s="87">
        <v>1584</v>
      </c>
      <c r="D236" s="84" t="s">
        <v>669</v>
      </c>
      <c r="E236" s="84" t="s">
        <v>455</v>
      </c>
      <c r="F236" s="84" t="s">
        <v>425</v>
      </c>
      <c r="AC236" s="86">
        <v>43268</v>
      </c>
    </row>
    <row r="237" spans="3:29" hidden="1" x14ac:dyDescent="0.35">
      <c r="C237" s="83">
        <v>1589</v>
      </c>
      <c r="D237" s="84" t="s">
        <v>670</v>
      </c>
      <c r="E237" s="84" t="s">
        <v>671</v>
      </c>
      <c r="F237" s="84" t="s">
        <v>370</v>
      </c>
      <c r="AC237" s="86">
        <v>43269</v>
      </c>
    </row>
    <row r="238" spans="3:29" hidden="1" x14ac:dyDescent="0.35">
      <c r="C238" s="83">
        <v>1592</v>
      </c>
      <c r="D238" s="84" t="s">
        <v>672</v>
      </c>
      <c r="E238" s="84" t="s">
        <v>558</v>
      </c>
      <c r="F238" s="84" t="s">
        <v>442</v>
      </c>
      <c r="AC238" s="86">
        <v>43270</v>
      </c>
    </row>
    <row r="239" spans="3:29" hidden="1" x14ac:dyDescent="0.35">
      <c r="C239" s="83">
        <v>1593</v>
      </c>
      <c r="D239" s="84" t="s">
        <v>673</v>
      </c>
      <c r="E239" s="84" t="s">
        <v>435</v>
      </c>
      <c r="F239" s="84" t="s">
        <v>541</v>
      </c>
      <c r="AC239" s="86">
        <v>43271</v>
      </c>
    </row>
    <row r="240" spans="3:29" hidden="1" x14ac:dyDescent="0.35">
      <c r="C240" s="83">
        <v>1597</v>
      </c>
      <c r="D240" s="84" t="s">
        <v>674</v>
      </c>
      <c r="E240" s="84" t="s">
        <v>675</v>
      </c>
      <c r="F240" s="84" t="s">
        <v>370</v>
      </c>
      <c r="AC240" s="86">
        <v>43272</v>
      </c>
    </row>
    <row r="241" spans="3:29" hidden="1" x14ac:dyDescent="0.35">
      <c r="C241" s="83">
        <v>1599</v>
      </c>
      <c r="D241" s="84" t="s">
        <v>676</v>
      </c>
      <c r="E241" s="84" t="s">
        <v>435</v>
      </c>
      <c r="F241" s="84" t="s">
        <v>541</v>
      </c>
      <c r="AC241" s="86">
        <v>43273</v>
      </c>
    </row>
    <row r="242" spans="3:29" hidden="1" x14ac:dyDescent="0.35">
      <c r="C242" s="83">
        <v>1602</v>
      </c>
      <c r="D242" s="84" t="s">
        <v>677</v>
      </c>
      <c r="E242" s="84" t="s">
        <v>553</v>
      </c>
      <c r="F242" s="84" t="s">
        <v>442</v>
      </c>
      <c r="AC242" s="86">
        <v>43274</v>
      </c>
    </row>
    <row r="243" spans="3:29" hidden="1" x14ac:dyDescent="0.35">
      <c r="C243" s="83">
        <v>1604</v>
      </c>
      <c r="D243" s="84" t="s">
        <v>678</v>
      </c>
      <c r="E243" s="84" t="s">
        <v>450</v>
      </c>
      <c r="F243" s="84" t="s">
        <v>432</v>
      </c>
      <c r="AC243" s="86">
        <v>43275</v>
      </c>
    </row>
    <row r="244" spans="3:29" hidden="1" x14ac:dyDescent="0.35">
      <c r="C244" s="83">
        <v>1605</v>
      </c>
      <c r="D244" s="84" t="s">
        <v>679</v>
      </c>
      <c r="E244" s="84" t="s">
        <v>445</v>
      </c>
      <c r="F244" s="84" t="s">
        <v>432</v>
      </c>
      <c r="AC244" s="86">
        <v>43276</v>
      </c>
    </row>
    <row r="245" spans="3:29" hidden="1" x14ac:dyDescent="0.35">
      <c r="C245" s="83">
        <v>1606</v>
      </c>
      <c r="D245" s="84" t="s">
        <v>680</v>
      </c>
      <c r="E245" s="84" t="s">
        <v>553</v>
      </c>
      <c r="F245" s="84" t="s">
        <v>442</v>
      </c>
      <c r="AC245" s="86">
        <v>43277</v>
      </c>
    </row>
    <row r="246" spans="3:29" hidden="1" x14ac:dyDescent="0.35">
      <c r="C246" s="83">
        <v>1609</v>
      </c>
      <c r="D246" s="84" t="s">
        <v>681</v>
      </c>
      <c r="E246" s="84" t="s">
        <v>671</v>
      </c>
      <c r="F246" s="84" t="s">
        <v>408</v>
      </c>
      <c r="AC246" s="86">
        <v>43278</v>
      </c>
    </row>
    <row r="247" spans="3:29" hidden="1" x14ac:dyDescent="0.35">
      <c r="C247" s="83">
        <v>1612</v>
      </c>
      <c r="D247" s="84" t="s">
        <v>682</v>
      </c>
      <c r="E247" s="84" t="s">
        <v>445</v>
      </c>
      <c r="F247" s="84" t="s">
        <v>442</v>
      </c>
      <c r="AC247" s="86">
        <v>43279</v>
      </c>
    </row>
    <row r="248" spans="3:29" hidden="1" x14ac:dyDescent="0.35">
      <c r="C248" s="83">
        <v>1613</v>
      </c>
      <c r="D248" s="84" t="s">
        <v>683</v>
      </c>
      <c r="E248" s="84" t="s">
        <v>531</v>
      </c>
      <c r="F248" s="84" t="s">
        <v>442</v>
      </c>
      <c r="AC248" s="86">
        <v>43280</v>
      </c>
    </row>
    <row r="249" spans="3:29" hidden="1" x14ac:dyDescent="0.35">
      <c r="C249" s="83">
        <v>1615</v>
      </c>
      <c r="D249" s="84" t="s">
        <v>684</v>
      </c>
      <c r="E249" s="84" t="s">
        <v>565</v>
      </c>
      <c r="F249" s="84" t="s">
        <v>432</v>
      </c>
      <c r="AC249" s="86">
        <v>43281</v>
      </c>
    </row>
    <row r="250" spans="3:29" hidden="1" x14ac:dyDescent="0.35">
      <c r="C250" s="83">
        <v>1617</v>
      </c>
      <c r="D250" s="84" t="s">
        <v>685</v>
      </c>
      <c r="E250" s="84" t="s">
        <v>581</v>
      </c>
      <c r="F250" s="84" t="s">
        <v>442</v>
      </c>
      <c r="AC250" s="86">
        <v>43282</v>
      </c>
    </row>
    <row r="251" spans="3:29" hidden="1" x14ac:dyDescent="0.35">
      <c r="C251" s="83">
        <v>1618</v>
      </c>
      <c r="D251" s="84" t="s">
        <v>686</v>
      </c>
      <c r="E251" s="84" t="s">
        <v>464</v>
      </c>
      <c r="F251" s="84" t="s">
        <v>370</v>
      </c>
      <c r="AC251" s="86">
        <v>43283</v>
      </c>
    </row>
    <row r="252" spans="3:29" hidden="1" x14ac:dyDescent="0.35">
      <c r="C252" s="83">
        <v>1620</v>
      </c>
      <c r="D252" s="84" t="s">
        <v>687</v>
      </c>
      <c r="E252" s="84" t="s">
        <v>518</v>
      </c>
      <c r="F252" s="84" t="s">
        <v>442</v>
      </c>
      <c r="AC252" s="86">
        <v>43284</v>
      </c>
    </row>
    <row r="253" spans="3:29" hidden="1" x14ac:dyDescent="0.35">
      <c r="C253" s="83">
        <v>1622</v>
      </c>
      <c r="D253" s="84" t="s">
        <v>688</v>
      </c>
      <c r="E253" s="84" t="s">
        <v>506</v>
      </c>
      <c r="F253" s="84" t="s">
        <v>442</v>
      </c>
      <c r="AC253" s="86">
        <v>43285</v>
      </c>
    </row>
    <row r="254" spans="3:29" hidden="1" x14ac:dyDescent="0.35">
      <c r="C254" s="83">
        <v>1625</v>
      </c>
      <c r="D254" s="84" t="s">
        <v>689</v>
      </c>
      <c r="E254" s="84" t="s">
        <v>581</v>
      </c>
      <c r="F254" s="84" t="s">
        <v>442</v>
      </c>
      <c r="AC254" s="86">
        <v>43286</v>
      </c>
    </row>
    <row r="255" spans="3:29" hidden="1" x14ac:dyDescent="0.35">
      <c r="C255" s="83">
        <v>1626</v>
      </c>
      <c r="D255" s="84" t="s">
        <v>690</v>
      </c>
      <c r="E255" s="84" t="s">
        <v>553</v>
      </c>
      <c r="F255" s="84" t="s">
        <v>442</v>
      </c>
      <c r="AC255" s="86">
        <v>43287</v>
      </c>
    </row>
    <row r="256" spans="3:29" hidden="1" x14ac:dyDescent="0.35">
      <c r="C256" s="83">
        <v>1627</v>
      </c>
      <c r="D256" s="84" t="s">
        <v>691</v>
      </c>
      <c r="E256" s="84" t="s">
        <v>428</v>
      </c>
      <c r="F256" s="84" t="s">
        <v>541</v>
      </c>
      <c r="AC256" s="86">
        <v>43288</v>
      </c>
    </row>
    <row r="257" spans="3:29" hidden="1" x14ac:dyDescent="0.35">
      <c r="C257" s="83">
        <v>1629</v>
      </c>
      <c r="D257" s="84" t="s">
        <v>692</v>
      </c>
      <c r="E257" s="84" t="s">
        <v>450</v>
      </c>
      <c r="F257" s="84" t="s">
        <v>432</v>
      </c>
      <c r="AC257" s="86">
        <v>43289</v>
      </c>
    </row>
    <row r="258" spans="3:29" hidden="1" x14ac:dyDescent="0.35">
      <c r="C258" s="83">
        <v>1630</v>
      </c>
      <c r="D258" s="84" t="s">
        <v>693</v>
      </c>
      <c r="E258" s="84" t="s">
        <v>625</v>
      </c>
      <c r="F258" s="84" t="s">
        <v>422</v>
      </c>
      <c r="AC258" s="86">
        <v>43290</v>
      </c>
    </row>
    <row r="259" spans="3:29" hidden="1" x14ac:dyDescent="0.35">
      <c r="C259" s="83">
        <v>1631</v>
      </c>
      <c r="D259" s="84" t="s">
        <v>694</v>
      </c>
      <c r="E259" s="84" t="s">
        <v>450</v>
      </c>
      <c r="F259" s="84" t="s">
        <v>432</v>
      </c>
      <c r="AC259" s="86">
        <v>43291</v>
      </c>
    </row>
    <row r="260" spans="3:29" hidden="1" x14ac:dyDescent="0.35">
      <c r="C260" s="83">
        <v>1633</v>
      </c>
      <c r="D260" s="84" t="s">
        <v>695</v>
      </c>
      <c r="E260" s="84" t="s">
        <v>509</v>
      </c>
      <c r="F260" s="84" t="s">
        <v>413</v>
      </c>
      <c r="AC260" s="86">
        <v>43292</v>
      </c>
    </row>
    <row r="261" spans="3:29" hidden="1" x14ac:dyDescent="0.35">
      <c r="C261" s="83">
        <v>1636</v>
      </c>
      <c r="D261" s="84" t="s">
        <v>696</v>
      </c>
      <c r="E261" s="84" t="s">
        <v>435</v>
      </c>
      <c r="F261" s="84" t="s">
        <v>541</v>
      </c>
      <c r="AC261" s="86">
        <v>43293</v>
      </c>
    </row>
    <row r="262" spans="3:29" hidden="1" x14ac:dyDescent="0.35">
      <c r="C262" s="83">
        <v>1639</v>
      </c>
      <c r="D262" s="84" t="s">
        <v>697</v>
      </c>
      <c r="E262" s="84" t="s">
        <v>445</v>
      </c>
      <c r="F262" s="84" t="s">
        <v>442</v>
      </c>
      <c r="AC262" s="86">
        <v>43294</v>
      </c>
    </row>
    <row r="263" spans="3:29" hidden="1" x14ac:dyDescent="0.35">
      <c r="C263" s="83">
        <v>1642</v>
      </c>
      <c r="D263" s="84" t="s">
        <v>698</v>
      </c>
      <c r="E263" s="84" t="s">
        <v>621</v>
      </c>
      <c r="F263" s="84" t="s">
        <v>442</v>
      </c>
      <c r="AC263" s="86">
        <v>43295</v>
      </c>
    </row>
    <row r="264" spans="3:29" hidden="1" x14ac:dyDescent="0.35">
      <c r="C264" s="83">
        <v>1644</v>
      </c>
      <c r="D264" s="84" t="s">
        <v>699</v>
      </c>
      <c r="E264" s="84" t="s">
        <v>464</v>
      </c>
      <c r="F264" s="84" t="s">
        <v>422</v>
      </c>
      <c r="AC264" s="86">
        <v>43296</v>
      </c>
    </row>
    <row r="265" spans="3:29" hidden="1" x14ac:dyDescent="0.35">
      <c r="C265" s="83">
        <v>1648</v>
      </c>
      <c r="D265" s="84" t="s">
        <v>700</v>
      </c>
      <c r="E265" s="84" t="s">
        <v>469</v>
      </c>
      <c r="F265" s="84" t="s">
        <v>370</v>
      </c>
      <c r="AC265" s="86">
        <v>43297</v>
      </c>
    </row>
    <row r="266" spans="3:29" hidden="1" x14ac:dyDescent="0.35">
      <c r="C266" s="83">
        <v>1650</v>
      </c>
      <c r="D266" s="84" t="s">
        <v>701</v>
      </c>
      <c r="E266" s="84" t="s">
        <v>198</v>
      </c>
      <c r="F266" s="84" t="s">
        <v>370</v>
      </c>
      <c r="AC266" s="86">
        <v>43298</v>
      </c>
    </row>
    <row r="267" spans="3:29" hidden="1" x14ac:dyDescent="0.35">
      <c r="C267" s="83">
        <v>1651</v>
      </c>
      <c r="D267" s="84" t="s">
        <v>702</v>
      </c>
      <c r="E267" s="84" t="s">
        <v>482</v>
      </c>
      <c r="F267" s="84" t="s">
        <v>442</v>
      </c>
      <c r="AC267" s="86">
        <v>43299</v>
      </c>
    </row>
    <row r="268" spans="3:29" hidden="1" x14ac:dyDescent="0.35">
      <c r="C268" s="83">
        <v>1652</v>
      </c>
      <c r="D268" s="84" t="s">
        <v>703</v>
      </c>
      <c r="E268" s="84" t="s">
        <v>407</v>
      </c>
      <c r="F268" s="84" t="s">
        <v>408</v>
      </c>
      <c r="AC268" s="86">
        <v>43300</v>
      </c>
    </row>
    <row r="269" spans="3:29" hidden="1" x14ac:dyDescent="0.35">
      <c r="C269" s="83">
        <v>1654</v>
      </c>
      <c r="D269" s="84" t="s">
        <v>704</v>
      </c>
      <c r="E269" s="84" t="s">
        <v>621</v>
      </c>
      <c r="F269" s="84" t="s">
        <v>442</v>
      </c>
      <c r="AC269" s="86">
        <v>43301</v>
      </c>
    </row>
    <row r="270" spans="3:29" hidden="1" x14ac:dyDescent="0.35">
      <c r="C270" s="83">
        <v>1658</v>
      </c>
      <c r="D270" s="84" t="s">
        <v>705</v>
      </c>
      <c r="E270" s="84" t="s">
        <v>706</v>
      </c>
      <c r="F270" s="84" t="s">
        <v>408</v>
      </c>
      <c r="AC270" s="86">
        <v>43302</v>
      </c>
    </row>
    <row r="271" spans="3:29" hidden="1" x14ac:dyDescent="0.35">
      <c r="C271" s="83">
        <v>1661</v>
      </c>
      <c r="D271" s="84" t="s">
        <v>707</v>
      </c>
      <c r="E271" s="84" t="s">
        <v>597</v>
      </c>
      <c r="F271" s="84" t="s">
        <v>442</v>
      </c>
      <c r="AC271" s="86">
        <v>43303</v>
      </c>
    </row>
    <row r="272" spans="3:29" hidden="1" x14ac:dyDescent="0.35">
      <c r="C272" s="83">
        <v>1665</v>
      </c>
      <c r="D272" s="84" t="s">
        <v>708</v>
      </c>
      <c r="E272" s="84" t="s">
        <v>709</v>
      </c>
      <c r="F272" s="84" t="s">
        <v>408</v>
      </c>
      <c r="AC272" s="86">
        <v>43304</v>
      </c>
    </row>
    <row r="273" spans="3:29" hidden="1" x14ac:dyDescent="0.35">
      <c r="C273" s="83">
        <v>1667</v>
      </c>
      <c r="D273" s="84" t="s">
        <v>710</v>
      </c>
      <c r="E273" s="84" t="s">
        <v>455</v>
      </c>
      <c r="F273" s="84" t="s">
        <v>425</v>
      </c>
      <c r="AC273" s="86">
        <v>43305</v>
      </c>
    </row>
    <row r="274" spans="3:29" hidden="1" x14ac:dyDescent="0.35">
      <c r="C274" s="83">
        <v>1668</v>
      </c>
      <c r="D274" s="84" t="s">
        <v>711</v>
      </c>
      <c r="E274" s="84" t="s">
        <v>450</v>
      </c>
      <c r="F274" s="84" t="s">
        <v>432</v>
      </c>
      <c r="AC274" s="86">
        <v>43306</v>
      </c>
    </row>
    <row r="275" spans="3:29" hidden="1" x14ac:dyDescent="0.35">
      <c r="C275" s="83">
        <v>1671</v>
      </c>
      <c r="D275" s="84" t="s">
        <v>712</v>
      </c>
      <c r="E275" s="84" t="s">
        <v>713</v>
      </c>
      <c r="F275" s="84" t="s">
        <v>442</v>
      </c>
      <c r="AC275" s="86">
        <v>43307</v>
      </c>
    </row>
    <row r="276" spans="3:29" hidden="1" x14ac:dyDescent="0.35">
      <c r="C276" s="83">
        <v>1673</v>
      </c>
      <c r="D276" s="84" t="s">
        <v>714</v>
      </c>
      <c r="E276" s="84" t="s">
        <v>482</v>
      </c>
      <c r="F276" s="84" t="s">
        <v>442</v>
      </c>
      <c r="AC276" s="86">
        <v>43308</v>
      </c>
    </row>
    <row r="277" spans="3:29" hidden="1" x14ac:dyDescent="0.35">
      <c r="C277" s="83">
        <v>1677</v>
      </c>
      <c r="D277" s="84" t="s">
        <v>715</v>
      </c>
      <c r="E277" s="84" t="s">
        <v>435</v>
      </c>
      <c r="F277" s="84" t="s">
        <v>541</v>
      </c>
      <c r="AC277" s="86">
        <v>43309</v>
      </c>
    </row>
    <row r="278" spans="3:29" hidden="1" x14ac:dyDescent="0.35">
      <c r="C278" s="83">
        <v>1679</v>
      </c>
      <c r="D278" s="84" t="s">
        <v>716</v>
      </c>
      <c r="E278" s="84" t="s">
        <v>717</v>
      </c>
      <c r="F278" s="84" t="s">
        <v>408</v>
      </c>
      <c r="AC278" s="86">
        <v>43310</v>
      </c>
    </row>
    <row r="279" spans="3:29" hidden="1" x14ac:dyDescent="0.35">
      <c r="C279" s="83">
        <v>1680</v>
      </c>
      <c r="D279" s="84" t="s">
        <v>718</v>
      </c>
      <c r="E279" s="84" t="s">
        <v>506</v>
      </c>
      <c r="F279" s="84" t="s">
        <v>370</v>
      </c>
      <c r="AC279" s="86">
        <v>43311</v>
      </c>
    </row>
    <row r="280" spans="3:29" hidden="1" x14ac:dyDescent="0.35">
      <c r="C280" s="83">
        <v>1684</v>
      </c>
      <c r="D280" s="84" t="s">
        <v>719</v>
      </c>
      <c r="E280" s="84" t="s">
        <v>713</v>
      </c>
      <c r="F280" s="84" t="s">
        <v>442</v>
      </c>
      <c r="AC280" s="86">
        <v>43312</v>
      </c>
    </row>
    <row r="281" spans="3:29" hidden="1" x14ac:dyDescent="0.35">
      <c r="C281" s="83">
        <v>1686</v>
      </c>
      <c r="D281" s="84" t="s">
        <v>720</v>
      </c>
      <c r="E281" s="84" t="s">
        <v>435</v>
      </c>
      <c r="F281" s="84" t="s">
        <v>541</v>
      </c>
      <c r="AC281" s="86">
        <v>43313</v>
      </c>
    </row>
    <row r="282" spans="3:29" hidden="1" x14ac:dyDescent="0.35">
      <c r="C282" s="83">
        <v>1687</v>
      </c>
      <c r="D282" s="84" t="s">
        <v>721</v>
      </c>
      <c r="E282" s="84" t="s">
        <v>450</v>
      </c>
      <c r="F282" s="84" t="s">
        <v>432</v>
      </c>
      <c r="AC282" s="86">
        <v>43314</v>
      </c>
    </row>
    <row r="283" spans="3:29" hidden="1" x14ac:dyDescent="0.35">
      <c r="C283" s="83">
        <v>1688</v>
      </c>
      <c r="D283" s="84" t="s">
        <v>722</v>
      </c>
      <c r="E283" s="84" t="s">
        <v>495</v>
      </c>
      <c r="F283" s="84" t="s">
        <v>442</v>
      </c>
      <c r="AC283" s="86">
        <v>43315</v>
      </c>
    </row>
    <row r="284" spans="3:29" hidden="1" x14ac:dyDescent="0.35">
      <c r="C284" s="83">
        <v>1689</v>
      </c>
      <c r="D284" s="84" t="s">
        <v>723</v>
      </c>
      <c r="E284" s="84" t="s">
        <v>724</v>
      </c>
      <c r="F284" s="84" t="s">
        <v>442</v>
      </c>
      <c r="AC284" s="86">
        <v>43316</v>
      </c>
    </row>
    <row r="285" spans="3:29" hidden="1" x14ac:dyDescent="0.35">
      <c r="C285" s="83">
        <v>1690</v>
      </c>
      <c r="D285" s="84" t="s">
        <v>725</v>
      </c>
      <c r="E285" s="84" t="s">
        <v>435</v>
      </c>
      <c r="F285" s="84" t="s">
        <v>425</v>
      </c>
      <c r="AC285" s="86">
        <v>43317</v>
      </c>
    </row>
    <row r="286" spans="3:29" hidden="1" x14ac:dyDescent="0.35">
      <c r="C286" s="83">
        <v>1693</v>
      </c>
      <c r="D286" s="84" t="s">
        <v>726</v>
      </c>
      <c r="E286" s="84" t="s">
        <v>455</v>
      </c>
      <c r="F286" s="84" t="s">
        <v>432</v>
      </c>
      <c r="AC286" s="86">
        <v>43318</v>
      </c>
    </row>
    <row r="287" spans="3:29" hidden="1" x14ac:dyDescent="0.35">
      <c r="C287" s="83">
        <v>1694</v>
      </c>
      <c r="D287" s="84" t="s">
        <v>727</v>
      </c>
      <c r="E287" s="84" t="s">
        <v>553</v>
      </c>
      <c r="F287" s="84" t="s">
        <v>442</v>
      </c>
      <c r="AC287" s="86">
        <v>43319</v>
      </c>
    </row>
    <row r="288" spans="3:29" hidden="1" x14ac:dyDescent="0.35">
      <c r="C288" s="83">
        <v>1695</v>
      </c>
      <c r="D288" s="84" t="s">
        <v>728</v>
      </c>
      <c r="E288" s="84" t="s">
        <v>558</v>
      </c>
      <c r="F288" s="84" t="s">
        <v>422</v>
      </c>
      <c r="AC288" s="86">
        <v>43320</v>
      </c>
    </row>
    <row r="289" spans="3:29" hidden="1" x14ac:dyDescent="0.35">
      <c r="C289" s="83">
        <v>1696</v>
      </c>
      <c r="D289" s="84" t="s">
        <v>729</v>
      </c>
      <c r="E289" s="84" t="s">
        <v>713</v>
      </c>
      <c r="F289" s="84" t="s">
        <v>442</v>
      </c>
      <c r="AC289" s="86">
        <v>43321</v>
      </c>
    </row>
    <row r="290" spans="3:29" hidden="1" x14ac:dyDescent="0.35">
      <c r="C290" s="83">
        <v>1698</v>
      </c>
      <c r="D290" s="84" t="s">
        <v>730</v>
      </c>
      <c r="E290" s="84" t="s">
        <v>581</v>
      </c>
      <c r="F290" s="84" t="s">
        <v>442</v>
      </c>
      <c r="AC290" s="86">
        <v>43322</v>
      </c>
    </row>
    <row r="291" spans="3:29" hidden="1" x14ac:dyDescent="0.35">
      <c r="C291" s="83">
        <v>1700</v>
      </c>
      <c r="D291" s="84" t="s">
        <v>731</v>
      </c>
      <c r="E291" s="84" t="s">
        <v>407</v>
      </c>
      <c r="F291" s="84" t="s">
        <v>408</v>
      </c>
      <c r="AC291" s="86">
        <v>43323</v>
      </c>
    </row>
    <row r="292" spans="3:29" hidden="1" x14ac:dyDescent="0.35">
      <c r="C292" s="83">
        <v>1701</v>
      </c>
      <c r="D292" s="84" t="s">
        <v>732</v>
      </c>
      <c r="E292" s="84" t="s">
        <v>435</v>
      </c>
      <c r="F292" s="84" t="s">
        <v>541</v>
      </c>
      <c r="AC292" s="86">
        <v>43324</v>
      </c>
    </row>
    <row r="293" spans="3:29" hidden="1" x14ac:dyDescent="0.35">
      <c r="C293" s="83">
        <v>1702</v>
      </c>
      <c r="D293" s="84" t="s">
        <v>733</v>
      </c>
      <c r="E293" s="84" t="s">
        <v>665</v>
      </c>
      <c r="F293" s="84" t="s">
        <v>418</v>
      </c>
      <c r="AC293" s="86">
        <v>43325</v>
      </c>
    </row>
    <row r="294" spans="3:29" hidden="1" x14ac:dyDescent="0.35">
      <c r="C294" s="83">
        <v>1704</v>
      </c>
      <c r="D294" s="84" t="s">
        <v>734</v>
      </c>
      <c r="E294" s="84" t="s">
        <v>455</v>
      </c>
      <c r="F294" s="84" t="s">
        <v>432</v>
      </c>
      <c r="AC294" s="86">
        <v>43326</v>
      </c>
    </row>
    <row r="295" spans="3:29" hidden="1" x14ac:dyDescent="0.35">
      <c r="C295" s="83">
        <v>1706</v>
      </c>
      <c r="D295" s="84" t="s">
        <v>735</v>
      </c>
      <c r="E295" s="84" t="s">
        <v>645</v>
      </c>
      <c r="F295" s="84" t="s">
        <v>408</v>
      </c>
      <c r="AC295" s="86">
        <v>43327</v>
      </c>
    </row>
    <row r="296" spans="3:29" hidden="1" x14ac:dyDescent="0.35">
      <c r="C296" s="83">
        <v>1707</v>
      </c>
      <c r="D296" s="84" t="s">
        <v>736</v>
      </c>
      <c r="E296" s="84" t="s">
        <v>671</v>
      </c>
      <c r="F296" s="84" t="s">
        <v>442</v>
      </c>
      <c r="AC296" s="86">
        <v>43328</v>
      </c>
    </row>
    <row r="297" spans="3:29" hidden="1" x14ac:dyDescent="0.35">
      <c r="C297" s="83">
        <v>1709</v>
      </c>
      <c r="D297" s="84" t="s">
        <v>737</v>
      </c>
      <c r="E297" s="84" t="s">
        <v>417</v>
      </c>
      <c r="F297" s="84" t="s">
        <v>408</v>
      </c>
      <c r="AC297" s="86">
        <v>43329</v>
      </c>
    </row>
    <row r="298" spans="3:29" hidden="1" x14ac:dyDescent="0.35">
      <c r="C298" s="83">
        <v>1710</v>
      </c>
      <c r="D298" s="84" t="s">
        <v>738</v>
      </c>
      <c r="E298" s="84" t="s">
        <v>435</v>
      </c>
      <c r="F298" s="84" t="s">
        <v>541</v>
      </c>
      <c r="AC298" s="86">
        <v>43330</v>
      </c>
    </row>
    <row r="299" spans="3:29" hidden="1" x14ac:dyDescent="0.35">
      <c r="C299" s="83">
        <v>1711</v>
      </c>
      <c r="D299" s="84" t="s">
        <v>739</v>
      </c>
      <c r="E299" s="84" t="s">
        <v>675</v>
      </c>
      <c r="F299" s="84" t="s">
        <v>442</v>
      </c>
      <c r="AC299" s="86">
        <v>43331</v>
      </c>
    </row>
    <row r="300" spans="3:29" hidden="1" x14ac:dyDescent="0.35">
      <c r="C300" s="83">
        <v>1713</v>
      </c>
      <c r="D300" s="84" t="s">
        <v>740</v>
      </c>
      <c r="E300" s="84" t="s">
        <v>706</v>
      </c>
      <c r="F300" s="84" t="s">
        <v>370</v>
      </c>
      <c r="AC300" s="86">
        <v>43332</v>
      </c>
    </row>
    <row r="301" spans="3:29" hidden="1" x14ac:dyDescent="0.35">
      <c r="C301" s="83">
        <v>1714</v>
      </c>
      <c r="D301" s="84" t="s">
        <v>741</v>
      </c>
      <c r="E301" s="84" t="s">
        <v>435</v>
      </c>
      <c r="F301" s="84" t="s">
        <v>541</v>
      </c>
      <c r="AC301" s="86">
        <v>43333</v>
      </c>
    </row>
    <row r="302" spans="3:29" hidden="1" x14ac:dyDescent="0.35">
      <c r="C302" s="83">
        <v>1715</v>
      </c>
      <c r="D302" s="84" t="s">
        <v>742</v>
      </c>
      <c r="E302" s="84" t="s">
        <v>625</v>
      </c>
      <c r="F302" s="84" t="s">
        <v>370</v>
      </c>
      <c r="AC302" s="86">
        <v>43334</v>
      </c>
    </row>
    <row r="303" spans="3:29" hidden="1" x14ac:dyDescent="0.35">
      <c r="C303" s="83">
        <v>1718</v>
      </c>
      <c r="D303" s="84" t="s">
        <v>743</v>
      </c>
      <c r="E303" s="84" t="s">
        <v>713</v>
      </c>
      <c r="F303" s="84" t="s">
        <v>442</v>
      </c>
      <c r="AC303" s="86">
        <v>43335</v>
      </c>
    </row>
    <row r="304" spans="3:29" hidden="1" x14ac:dyDescent="0.35">
      <c r="C304" s="83">
        <v>1721</v>
      </c>
      <c r="D304" s="84" t="s">
        <v>744</v>
      </c>
      <c r="E304" s="84" t="s">
        <v>506</v>
      </c>
      <c r="F304" s="84" t="s">
        <v>370</v>
      </c>
      <c r="AC304" s="86">
        <v>43336</v>
      </c>
    </row>
    <row r="305" spans="3:29" hidden="1" x14ac:dyDescent="0.35">
      <c r="C305" s="83">
        <v>1722</v>
      </c>
      <c r="D305" s="84" t="s">
        <v>745</v>
      </c>
      <c r="E305" s="84" t="s">
        <v>421</v>
      </c>
      <c r="F305" s="84" t="s">
        <v>422</v>
      </c>
      <c r="AC305" s="86">
        <v>43337</v>
      </c>
    </row>
    <row r="306" spans="3:29" hidden="1" x14ac:dyDescent="0.35">
      <c r="C306" s="83">
        <v>1723</v>
      </c>
      <c r="D306" s="84" t="s">
        <v>746</v>
      </c>
      <c r="E306" s="84" t="s">
        <v>435</v>
      </c>
      <c r="F306" s="84" t="s">
        <v>425</v>
      </c>
      <c r="AC306" s="86">
        <v>43338</v>
      </c>
    </row>
    <row r="307" spans="3:29" hidden="1" x14ac:dyDescent="0.35">
      <c r="C307" s="83">
        <v>1724</v>
      </c>
      <c r="D307" s="84" t="s">
        <v>747</v>
      </c>
      <c r="E307" s="84" t="s">
        <v>565</v>
      </c>
      <c r="F307" s="84" t="s">
        <v>442</v>
      </c>
      <c r="AC307" s="86">
        <v>43339</v>
      </c>
    </row>
    <row r="308" spans="3:29" hidden="1" x14ac:dyDescent="0.35">
      <c r="C308" s="83">
        <v>1726</v>
      </c>
      <c r="D308" s="84" t="s">
        <v>748</v>
      </c>
      <c r="E308" s="84" t="s">
        <v>531</v>
      </c>
      <c r="F308" s="84" t="s">
        <v>442</v>
      </c>
      <c r="AC308" s="86">
        <v>43340</v>
      </c>
    </row>
    <row r="309" spans="3:29" hidden="1" x14ac:dyDescent="0.35">
      <c r="C309" s="83">
        <v>1728</v>
      </c>
      <c r="D309" s="84" t="s">
        <v>749</v>
      </c>
      <c r="E309" s="84" t="s">
        <v>531</v>
      </c>
      <c r="F309" s="84" t="s">
        <v>442</v>
      </c>
      <c r="AC309" s="86">
        <v>43341</v>
      </c>
    </row>
    <row r="310" spans="3:29" hidden="1" x14ac:dyDescent="0.35">
      <c r="C310" s="83">
        <v>1731</v>
      </c>
      <c r="D310" s="84" t="s">
        <v>750</v>
      </c>
      <c r="E310" s="84" t="s">
        <v>445</v>
      </c>
      <c r="F310" s="84" t="s">
        <v>432</v>
      </c>
      <c r="AC310" s="86">
        <v>43342</v>
      </c>
    </row>
    <row r="311" spans="3:29" hidden="1" x14ac:dyDescent="0.35">
      <c r="C311" s="83">
        <v>1733</v>
      </c>
      <c r="D311" s="84" t="s">
        <v>751</v>
      </c>
      <c r="E311" s="84" t="s">
        <v>407</v>
      </c>
      <c r="F311" s="84" t="s">
        <v>408</v>
      </c>
      <c r="AC311" s="86">
        <v>43343</v>
      </c>
    </row>
    <row r="312" spans="3:29" hidden="1" x14ac:dyDescent="0.35">
      <c r="C312" s="84">
        <v>1734</v>
      </c>
      <c r="D312" s="84" t="s">
        <v>752</v>
      </c>
      <c r="E312" s="84" t="s">
        <v>509</v>
      </c>
      <c r="F312" s="84" t="s">
        <v>442</v>
      </c>
      <c r="AC312" s="86">
        <v>43344</v>
      </c>
    </row>
    <row r="313" spans="3:29" hidden="1" x14ac:dyDescent="0.35">
      <c r="C313" s="84">
        <v>1735</v>
      </c>
      <c r="D313" s="84" t="s">
        <v>753</v>
      </c>
      <c r="E313" s="84" t="s">
        <v>417</v>
      </c>
      <c r="F313" s="84" t="s">
        <v>370</v>
      </c>
      <c r="AC313" s="86">
        <v>43345</v>
      </c>
    </row>
    <row r="314" spans="3:29" hidden="1" x14ac:dyDescent="0.35">
      <c r="C314" s="83">
        <v>1736</v>
      </c>
      <c r="D314" s="84" t="s">
        <v>754</v>
      </c>
      <c r="E314" s="84" t="s">
        <v>417</v>
      </c>
      <c r="F314" s="84" t="s">
        <v>408</v>
      </c>
      <c r="AC314" s="86">
        <v>43346</v>
      </c>
    </row>
    <row r="315" spans="3:29" hidden="1" x14ac:dyDescent="0.35">
      <c r="C315" s="83">
        <v>1738</v>
      </c>
      <c r="D315" s="84" t="s">
        <v>755</v>
      </c>
      <c r="E315" s="84" t="s">
        <v>671</v>
      </c>
      <c r="F315" s="84" t="s">
        <v>408</v>
      </c>
      <c r="AC315" s="86">
        <v>43347</v>
      </c>
    </row>
    <row r="316" spans="3:29" hidden="1" x14ac:dyDescent="0.35">
      <c r="C316" s="84">
        <v>1739</v>
      </c>
      <c r="D316" s="84" t="s">
        <v>756</v>
      </c>
      <c r="E316" s="84" t="s">
        <v>506</v>
      </c>
      <c r="F316" s="84" t="s">
        <v>442</v>
      </c>
      <c r="AC316" s="86">
        <v>43348</v>
      </c>
    </row>
    <row r="317" spans="3:29" hidden="1" x14ac:dyDescent="0.35">
      <c r="C317" s="84">
        <v>1740</v>
      </c>
      <c r="D317" s="84" t="s">
        <v>757</v>
      </c>
      <c r="E317" s="84" t="s">
        <v>198</v>
      </c>
      <c r="F317" s="84" t="s">
        <v>408</v>
      </c>
      <c r="AC317" s="86">
        <v>43349</v>
      </c>
    </row>
    <row r="318" spans="3:29" hidden="1" x14ac:dyDescent="0.35">
      <c r="C318" s="84">
        <v>1743</v>
      </c>
      <c r="D318" s="84" t="s">
        <v>758</v>
      </c>
      <c r="E318" s="84" t="s">
        <v>445</v>
      </c>
      <c r="F318" s="84" t="s">
        <v>370</v>
      </c>
      <c r="AC318" s="86">
        <v>43350</v>
      </c>
    </row>
    <row r="319" spans="3:29" hidden="1" x14ac:dyDescent="0.35">
      <c r="C319" s="84">
        <v>1745</v>
      </c>
      <c r="D319" s="84" t="s">
        <v>759</v>
      </c>
      <c r="E319" s="84" t="s">
        <v>518</v>
      </c>
      <c r="F319" s="84" t="s">
        <v>408</v>
      </c>
      <c r="AC319" s="86">
        <v>43351</v>
      </c>
    </row>
    <row r="320" spans="3:29" hidden="1" x14ac:dyDescent="0.35">
      <c r="C320" s="84">
        <v>1746</v>
      </c>
      <c r="D320" s="84" t="s">
        <v>760</v>
      </c>
      <c r="E320" s="84" t="s">
        <v>455</v>
      </c>
      <c r="F320" s="84" t="s">
        <v>370</v>
      </c>
      <c r="AC320" s="86">
        <v>43352</v>
      </c>
    </row>
    <row r="321" spans="3:29" hidden="1" x14ac:dyDescent="0.35">
      <c r="C321" s="84">
        <v>1748</v>
      </c>
      <c r="D321" s="84" t="s">
        <v>761</v>
      </c>
      <c r="E321" s="84" t="s">
        <v>371</v>
      </c>
      <c r="F321" s="84" t="s">
        <v>408</v>
      </c>
      <c r="AC321" s="86">
        <v>43353</v>
      </c>
    </row>
    <row r="322" spans="3:29" hidden="1" x14ac:dyDescent="0.35">
      <c r="C322" s="84">
        <v>1751</v>
      </c>
      <c r="D322" s="84" t="s">
        <v>762</v>
      </c>
      <c r="E322" s="84" t="s">
        <v>435</v>
      </c>
      <c r="F322" s="84" t="s">
        <v>370</v>
      </c>
      <c r="AC322" s="86">
        <v>43354</v>
      </c>
    </row>
    <row r="323" spans="3:29" hidden="1" x14ac:dyDescent="0.35">
      <c r="C323" s="83">
        <v>1752</v>
      </c>
      <c r="D323" s="84" t="s">
        <v>763</v>
      </c>
      <c r="E323" s="84" t="s">
        <v>625</v>
      </c>
      <c r="F323" s="84" t="s">
        <v>418</v>
      </c>
      <c r="AC323" s="86">
        <v>43355</v>
      </c>
    </row>
    <row r="324" spans="3:29" hidden="1" x14ac:dyDescent="0.35">
      <c r="C324" s="83">
        <v>1753</v>
      </c>
      <c r="D324" s="84" t="s">
        <v>764</v>
      </c>
      <c r="E324" s="84" t="s">
        <v>417</v>
      </c>
      <c r="F324" s="84" t="s">
        <v>408</v>
      </c>
      <c r="AC324" s="86">
        <v>43356</v>
      </c>
    </row>
    <row r="325" spans="3:29" hidden="1" x14ac:dyDescent="0.35">
      <c r="C325" s="83">
        <v>1754</v>
      </c>
      <c r="D325" s="84" t="s">
        <v>765</v>
      </c>
      <c r="E325" s="84" t="s">
        <v>407</v>
      </c>
      <c r="F325" s="84" t="s">
        <v>408</v>
      </c>
      <c r="AC325" s="86">
        <v>43357</v>
      </c>
    </row>
    <row r="326" spans="3:29" hidden="1" x14ac:dyDescent="0.35">
      <c r="C326" s="84">
        <v>1755</v>
      </c>
      <c r="D326" s="84" t="s">
        <v>766</v>
      </c>
      <c r="E326" s="84" t="s">
        <v>604</v>
      </c>
      <c r="F326" s="84" t="s">
        <v>442</v>
      </c>
      <c r="AC326" s="86">
        <v>43358</v>
      </c>
    </row>
    <row r="327" spans="3:29" hidden="1" x14ac:dyDescent="0.35">
      <c r="C327" s="83">
        <v>1757</v>
      </c>
      <c r="D327" s="84" t="s">
        <v>767</v>
      </c>
      <c r="E327" s="84" t="s">
        <v>445</v>
      </c>
      <c r="F327" s="84" t="s">
        <v>408</v>
      </c>
      <c r="AC327" s="86">
        <v>43359</v>
      </c>
    </row>
    <row r="328" spans="3:29" hidden="1" x14ac:dyDescent="0.35">
      <c r="C328" s="83"/>
      <c r="D328" s="84"/>
      <c r="E328" s="84"/>
      <c r="F328" s="84"/>
      <c r="AC328" s="86">
        <v>43360</v>
      </c>
    </row>
    <row r="329" spans="3:29" hidden="1" x14ac:dyDescent="0.35">
      <c r="C329" s="83"/>
      <c r="D329" s="84"/>
      <c r="E329" s="84"/>
      <c r="F329" s="84"/>
      <c r="AC329" s="86">
        <v>43361</v>
      </c>
    </row>
    <row r="330" spans="3:29" hidden="1" x14ac:dyDescent="0.35">
      <c r="C330" s="83"/>
      <c r="D330" s="84"/>
      <c r="E330" s="84"/>
      <c r="F330" s="84"/>
      <c r="AC330" s="86">
        <v>43362</v>
      </c>
    </row>
    <row r="331" spans="3:29" hidden="1" x14ac:dyDescent="0.35">
      <c r="C331" s="83"/>
      <c r="D331" s="84"/>
      <c r="E331" s="84"/>
      <c r="F331" s="84"/>
      <c r="AC331" s="86">
        <v>43363</v>
      </c>
    </row>
    <row r="332" spans="3:29" hidden="1" x14ac:dyDescent="0.35">
      <c r="C332" s="83"/>
      <c r="D332" s="84"/>
      <c r="E332" s="84"/>
      <c r="F332" s="84"/>
      <c r="AC332" s="86">
        <v>43364</v>
      </c>
    </row>
    <row r="333" spans="3:29" hidden="1" x14ac:dyDescent="0.35">
      <c r="C333" s="83"/>
      <c r="D333" s="84"/>
      <c r="E333" s="84"/>
      <c r="F333" s="84"/>
      <c r="AC333" s="86">
        <v>43365</v>
      </c>
    </row>
    <row r="334" spans="3:29" hidden="1" x14ac:dyDescent="0.35">
      <c r="C334" s="83"/>
      <c r="D334" s="84"/>
      <c r="E334" s="84"/>
      <c r="F334" s="84"/>
      <c r="AC334" s="86">
        <v>43366</v>
      </c>
    </row>
    <row r="335" spans="3:29" hidden="1" x14ac:dyDescent="0.35">
      <c r="C335" s="83"/>
      <c r="D335" s="84"/>
      <c r="E335" s="84"/>
      <c r="F335" s="84"/>
      <c r="AC335" s="86">
        <v>43367</v>
      </c>
    </row>
    <row r="336" spans="3:29" hidden="1" x14ac:dyDescent="0.35">
      <c r="C336" s="83"/>
      <c r="D336" s="84"/>
      <c r="E336" s="84"/>
      <c r="F336" s="84"/>
      <c r="AC336" s="86">
        <v>43368</v>
      </c>
    </row>
    <row r="337" spans="3:29" hidden="1" x14ac:dyDescent="0.35">
      <c r="C337" s="83"/>
      <c r="D337" s="84"/>
      <c r="E337" s="84"/>
      <c r="F337" s="84"/>
      <c r="AC337" s="86">
        <v>43369</v>
      </c>
    </row>
    <row r="338" spans="3:29" hidden="1" x14ac:dyDescent="0.35">
      <c r="C338" s="83"/>
      <c r="D338" s="84"/>
      <c r="E338" s="84"/>
      <c r="F338" s="84"/>
      <c r="AC338" s="86">
        <v>43370</v>
      </c>
    </row>
    <row r="339" spans="3:29" hidden="1" x14ac:dyDescent="0.35">
      <c r="C339" s="83"/>
      <c r="D339" s="84"/>
      <c r="E339" s="84"/>
      <c r="F339" s="84"/>
      <c r="AC339" s="86">
        <v>43371</v>
      </c>
    </row>
    <row r="340" spans="3:29" hidden="1" x14ac:dyDescent="0.35">
      <c r="C340" s="83"/>
      <c r="D340" s="84"/>
      <c r="E340" s="84"/>
      <c r="F340" s="84"/>
      <c r="AC340" s="86">
        <v>43372</v>
      </c>
    </row>
    <row r="341" spans="3:29" hidden="1" x14ac:dyDescent="0.35">
      <c r="C341" s="83"/>
      <c r="D341" s="84"/>
      <c r="E341" s="84"/>
      <c r="F341" s="84"/>
      <c r="AC341" s="86">
        <v>43373</v>
      </c>
    </row>
    <row r="342" spans="3:29" hidden="1" x14ac:dyDescent="0.35">
      <c r="C342" s="83"/>
      <c r="D342" s="84"/>
      <c r="E342" s="84"/>
      <c r="F342" s="84"/>
      <c r="AC342" s="86">
        <v>43374</v>
      </c>
    </row>
    <row r="343" spans="3:29" hidden="1" x14ac:dyDescent="0.35">
      <c r="C343" s="83"/>
      <c r="D343" s="84"/>
      <c r="E343" s="84"/>
      <c r="F343" s="84"/>
      <c r="AC343" s="86">
        <v>43375</v>
      </c>
    </row>
    <row r="344" spans="3:29" hidden="1" x14ac:dyDescent="0.35">
      <c r="C344" s="83"/>
      <c r="D344" s="84"/>
      <c r="E344" s="84"/>
      <c r="F344" s="84"/>
      <c r="AC344" s="86">
        <v>43376</v>
      </c>
    </row>
    <row r="345" spans="3:29" hidden="1" x14ac:dyDescent="0.35">
      <c r="C345" s="83"/>
      <c r="D345" s="84"/>
      <c r="E345" s="84"/>
      <c r="F345" s="84"/>
      <c r="AC345" s="86">
        <v>43377</v>
      </c>
    </row>
    <row r="346" spans="3:29" hidden="1" x14ac:dyDescent="0.35">
      <c r="C346" s="83"/>
      <c r="D346" s="84"/>
      <c r="E346" s="84"/>
      <c r="F346" s="84"/>
      <c r="AC346" s="86">
        <v>43378</v>
      </c>
    </row>
    <row r="347" spans="3:29" hidden="1" x14ac:dyDescent="0.35">
      <c r="C347" s="83"/>
      <c r="D347" s="84"/>
      <c r="E347" s="84"/>
      <c r="F347" s="84"/>
      <c r="AC347" s="86">
        <v>43379</v>
      </c>
    </row>
    <row r="348" spans="3:29" hidden="1" x14ac:dyDescent="0.35">
      <c r="C348" s="83"/>
      <c r="D348" s="84"/>
      <c r="E348" s="84"/>
      <c r="F348" s="84"/>
      <c r="AC348" s="86">
        <v>43380</v>
      </c>
    </row>
    <row r="349" spans="3:29" hidden="1" x14ac:dyDescent="0.35">
      <c r="C349" s="84"/>
      <c r="D349" s="84"/>
      <c r="E349" s="84"/>
      <c r="F349" s="84"/>
      <c r="AC349" s="86">
        <v>43381</v>
      </c>
    </row>
    <row r="350" spans="3:29" hidden="1" x14ac:dyDescent="0.35">
      <c r="C350" s="84"/>
      <c r="D350" s="84"/>
      <c r="E350" s="84"/>
      <c r="F350" s="84"/>
      <c r="AC350" s="86">
        <v>43382</v>
      </c>
    </row>
    <row r="351" spans="3:29" hidden="1" x14ac:dyDescent="0.35">
      <c r="C351" s="83"/>
      <c r="D351" s="84"/>
      <c r="E351" s="84"/>
      <c r="F351" s="84"/>
      <c r="AC351" s="86">
        <v>43383</v>
      </c>
    </row>
    <row r="352" spans="3:29" hidden="1" x14ac:dyDescent="0.35">
      <c r="C352" s="84"/>
      <c r="D352" s="84"/>
      <c r="E352" s="84"/>
      <c r="F352" s="84"/>
      <c r="AC352" s="86">
        <v>43384</v>
      </c>
    </row>
    <row r="353" spans="3:29" hidden="1" x14ac:dyDescent="0.35">
      <c r="C353" s="83"/>
      <c r="D353" s="84"/>
      <c r="E353" s="84"/>
      <c r="F353" s="84"/>
      <c r="AC353" s="86">
        <v>43385</v>
      </c>
    </row>
    <row r="354" spans="3:29" hidden="1" x14ac:dyDescent="0.35">
      <c r="C354" s="84"/>
      <c r="D354" s="84"/>
      <c r="E354" s="84"/>
      <c r="F354" s="84"/>
      <c r="AC354" s="86">
        <v>43386</v>
      </c>
    </row>
    <row r="355" spans="3:29" hidden="1" x14ac:dyDescent="0.35">
      <c r="C355" s="84"/>
      <c r="D355" s="84"/>
      <c r="E355" s="84"/>
      <c r="F355" s="84"/>
      <c r="AC355" s="86">
        <v>43387</v>
      </c>
    </row>
    <row r="356" spans="3:29" hidden="1" x14ac:dyDescent="0.35">
      <c r="C356" s="84"/>
      <c r="D356" s="84"/>
      <c r="E356" s="84"/>
      <c r="F356" s="84"/>
      <c r="AC356" s="86">
        <v>43388</v>
      </c>
    </row>
    <row r="357" spans="3:29" hidden="1" x14ac:dyDescent="0.35">
      <c r="C357" s="83"/>
      <c r="D357" s="84"/>
      <c r="E357" s="84"/>
      <c r="F357" s="84"/>
      <c r="AC357" s="86">
        <v>43389</v>
      </c>
    </row>
    <row r="358" spans="3:29" hidden="1" x14ac:dyDescent="0.35">
      <c r="C358" s="84"/>
      <c r="D358" s="84"/>
      <c r="E358" s="84"/>
      <c r="F358" s="84"/>
      <c r="AC358" s="86">
        <v>43390</v>
      </c>
    </row>
    <row r="359" spans="3:29" hidden="1" x14ac:dyDescent="0.35">
      <c r="C359" s="84"/>
      <c r="D359" s="84"/>
      <c r="E359" s="84"/>
      <c r="F359" s="84"/>
      <c r="AC359" s="86">
        <v>43391</v>
      </c>
    </row>
    <row r="360" spans="3:29" hidden="1" x14ac:dyDescent="0.35">
      <c r="C360" s="84"/>
      <c r="D360" s="84"/>
      <c r="E360" s="84"/>
      <c r="F360" s="84"/>
      <c r="AC360" s="86">
        <v>43392</v>
      </c>
    </row>
    <row r="361" spans="3:29" hidden="1" x14ac:dyDescent="0.35">
      <c r="C361" s="84"/>
      <c r="D361" s="84"/>
      <c r="E361" s="84"/>
      <c r="F361" s="84"/>
      <c r="AC361" s="86">
        <v>43393</v>
      </c>
    </row>
    <row r="362" spans="3:29" hidden="1" x14ac:dyDescent="0.35">
      <c r="C362" s="83"/>
      <c r="D362" s="84"/>
      <c r="E362" s="84"/>
      <c r="F362" s="84"/>
      <c r="AC362" s="86">
        <v>43394</v>
      </c>
    </row>
    <row r="363" spans="3:29" hidden="1" x14ac:dyDescent="0.35">
      <c r="C363" s="83"/>
      <c r="D363" s="84"/>
      <c r="E363" s="84"/>
      <c r="F363" s="84"/>
      <c r="AC363" s="86">
        <v>43395</v>
      </c>
    </row>
    <row r="364" spans="3:29" hidden="1" x14ac:dyDescent="0.35">
      <c r="C364" s="83"/>
      <c r="D364" s="84"/>
      <c r="E364" s="84"/>
      <c r="F364" s="84"/>
      <c r="AC364" s="86">
        <v>43396</v>
      </c>
    </row>
    <row r="365" spans="3:29" hidden="1" x14ac:dyDescent="0.35">
      <c r="C365" s="84"/>
      <c r="D365" s="84"/>
      <c r="E365" s="84"/>
      <c r="F365" s="84"/>
      <c r="AC365" s="86">
        <v>43397</v>
      </c>
    </row>
    <row r="366" spans="3:29" hidden="1" x14ac:dyDescent="0.35">
      <c r="C366" s="83"/>
      <c r="D366" s="84"/>
      <c r="E366" s="84"/>
      <c r="F366" s="84"/>
      <c r="AC366" s="86">
        <v>43398</v>
      </c>
    </row>
    <row r="367" spans="3:29" hidden="1" x14ac:dyDescent="0.35">
      <c r="AC367" s="86">
        <v>43399</v>
      </c>
    </row>
    <row r="368" spans="3:29" hidden="1" x14ac:dyDescent="0.35">
      <c r="AC368" s="86">
        <v>43400</v>
      </c>
    </row>
    <row r="369" spans="3:29" hidden="1" x14ac:dyDescent="0.35">
      <c r="C369" s="83"/>
      <c r="D369" s="84"/>
      <c r="F369" s="84"/>
      <c r="AC369" s="86">
        <v>43401</v>
      </c>
    </row>
    <row r="370" spans="3:29" hidden="1" x14ac:dyDescent="0.35">
      <c r="AC370" s="86">
        <v>43402</v>
      </c>
    </row>
    <row r="371" spans="3:29" hidden="1" x14ac:dyDescent="0.35">
      <c r="AC371" s="86">
        <v>43403</v>
      </c>
    </row>
    <row r="372" spans="3:29" hidden="1" x14ac:dyDescent="0.35">
      <c r="AC372" s="86">
        <v>43404</v>
      </c>
    </row>
    <row r="373" spans="3:29" hidden="1" x14ac:dyDescent="0.35">
      <c r="AC373" s="86">
        <v>43405</v>
      </c>
    </row>
    <row r="374" spans="3:29" hidden="1" x14ac:dyDescent="0.35">
      <c r="AC374" s="86">
        <v>43406</v>
      </c>
    </row>
    <row r="375" spans="3:29" hidden="1" x14ac:dyDescent="0.35">
      <c r="AC375" s="86">
        <v>43407</v>
      </c>
    </row>
    <row r="376" spans="3:29" hidden="1" x14ac:dyDescent="0.35">
      <c r="AC376" s="86">
        <v>43408</v>
      </c>
    </row>
    <row r="377" spans="3:29" hidden="1" x14ac:dyDescent="0.35">
      <c r="AC377" s="86">
        <v>43409</v>
      </c>
    </row>
    <row r="378" spans="3:29" hidden="1" x14ac:dyDescent="0.35">
      <c r="AC378" s="86">
        <v>43410</v>
      </c>
    </row>
    <row r="379" spans="3:29" hidden="1" x14ac:dyDescent="0.35">
      <c r="AC379" s="86">
        <v>43411</v>
      </c>
    </row>
    <row r="380" spans="3:29" hidden="1" x14ac:dyDescent="0.35">
      <c r="AC380" s="86">
        <v>43412</v>
      </c>
    </row>
    <row r="381" spans="3:29" hidden="1" x14ac:dyDescent="0.35">
      <c r="AC381" s="86">
        <v>43413</v>
      </c>
    </row>
    <row r="382" spans="3:29" hidden="1" x14ac:dyDescent="0.35">
      <c r="AC382" s="86">
        <v>43414</v>
      </c>
    </row>
    <row r="383" spans="3:29" hidden="1" x14ac:dyDescent="0.35">
      <c r="AC383" s="86">
        <v>43415</v>
      </c>
    </row>
    <row r="384" spans="3:29" hidden="1" x14ac:dyDescent="0.35">
      <c r="AC384" s="86">
        <v>43416</v>
      </c>
    </row>
    <row r="385" spans="29:29" hidden="1" x14ac:dyDescent="0.35">
      <c r="AC385" s="86">
        <v>43417</v>
      </c>
    </row>
    <row r="386" spans="29:29" hidden="1" x14ac:dyDescent="0.35">
      <c r="AC386" s="86">
        <v>43418</v>
      </c>
    </row>
    <row r="387" spans="29:29" hidden="1" x14ac:dyDescent="0.35">
      <c r="AC387" s="86">
        <v>43419</v>
      </c>
    </row>
    <row r="388" spans="29:29" hidden="1" x14ac:dyDescent="0.35">
      <c r="AC388" s="86">
        <v>43420</v>
      </c>
    </row>
    <row r="389" spans="29:29" hidden="1" x14ac:dyDescent="0.35">
      <c r="AC389" s="86">
        <v>43421</v>
      </c>
    </row>
    <row r="390" spans="29:29" hidden="1" x14ac:dyDescent="0.35">
      <c r="AC390" s="86">
        <v>43422</v>
      </c>
    </row>
    <row r="391" spans="29:29" hidden="1" x14ac:dyDescent="0.35">
      <c r="AC391" s="86">
        <v>43423</v>
      </c>
    </row>
    <row r="392" spans="29:29" hidden="1" x14ac:dyDescent="0.35">
      <c r="AC392" s="86">
        <v>43424</v>
      </c>
    </row>
    <row r="393" spans="29:29" hidden="1" x14ac:dyDescent="0.35">
      <c r="AC393" s="86">
        <v>43425</v>
      </c>
    </row>
    <row r="394" spans="29:29" hidden="1" x14ac:dyDescent="0.35">
      <c r="AC394" s="86">
        <v>43426</v>
      </c>
    </row>
    <row r="395" spans="29:29" hidden="1" x14ac:dyDescent="0.35">
      <c r="AC395" s="86">
        <v>43427</v>
      </c>
    </row>
    <row r="396" spans="29:29" hidden="1" x14ac:dyDescent="0.35">
      <c r="AC396" s="86">
        <v>43428</v>
      </c>
    </row>
    <row r="397" spans="29:29" hidden="1" x14ac:dyDescent="0.35">
      <c r="AC397" s="86">
        <v>43429</v>
      </c>
    </row>
    <row r="398" spans="29:29" hidden="1" x14ac:dyDescent="0.35">
      <c r="AC398" s="86">
        <v>43430</v>
      </c>
    </row>
    <row r="399" spans="29:29" hidden="1" x14ac:dyDescent="0.35">
      <c r="AC399" s="86">
        <v>43431</v>
      </c>
    </row>
    <row r="400" spans="29:29" hidden="1" x14ac:dyDescent="0.35">
      <c r="AC400" s="86">
        <v>43432</v>
      </c>
    </row>
    <row r="401" spans="29:29" hidden="1" x14ac:dyDescent="0.35">
      <c r="AC401" s="86">
        <v>43433</v>
      </c>
    </row>
    <row r="402" spans="29:29" hidden="1" x14ac:dyDescent="0.35">
      <c r="AC402" s="86">
        <v>43434</v>
      </c>
    </row>
    <row r="403" spans="29:29" hidden="1" x14ac:dyDescent="0.35">
      <c r="AC403" s="86">
        <v>43435</v>
      </c>
    </row>
    <row r="404" spans="29:29" hidden="1" x14ac:dyDescent="0.35">
      <c r="AC404" s="86">
        <v>43436</v>
      </c>
    </row>
    <row r="405" spans="29:29" hidden="1" x14ac:dyDescent="0.35">
      <c r="AC405" s="86">
        <v>43437</v>
      </c>
    </row>
    <row r="406" spans="29:29" hidden="1" x14ac:dyDescent="0.35">
      <c r="AC406" s="86">
        <v>43438</v>
      </c>
    </row>
    <row r="407" spans="29:29" hidden="1" x14ac:dyDescent="0.35">
      <c r="AC407" s="86">
        <v>43439</v>
      </c>
    </row>
    <row r="408" spans="29:29" hidden="1" x14ac:dyDescent="0.35">
      <c r="AC408" s="86">
        <v>43440</v>
      </c>
    </row>
    <row r="409" spans="29:29" hidden="1" x14ac:dyDescent="0.35">
      <c r="AC409" s="86">
        <v>43441</v>
      </c>
    </row>
    <row r="410" spans="29:29" hidden="1" x14ac:dyDescent="0.35">
      <c r="AC410" s="86">
        <v>43442</v>
      </c>
    </row>
    <row r="411" spans="29:29" hidden="1" x14ac:dyDescent="0.35">
      <c r="AC411" s="86">
        <v>43443</v>
      </c>
    </row>
    <row r="412" spans="29:29" hidden="1" x14ac:dyDescent="0.35">
      <c r="AC412" s="86">
        <v>43444</v>
      </c>
    </row>
    <row r="413" spans="29:29" hidden="1" x14ac:dyDescent="0.35">
      <c r="AC413" s="86">
        <v>43445</v>
      </c>
    </row>
    <row r="414" spans="29:29" hidden="1" x14ac:dyDescent="0.35">
      <c r="AC414" s="86">
        <v>43446</v>
      </c>
    </row>
    <row r="415" spans="29:29" hidden="1" x14ac:dyDescent="0.35">
      <c r="AC415" s="86">
        <v>43447</v>
      </c>
    </row>
    <row r="416" spans="29:29" hidden="1" x14ac:dyDescent="0.35">
      <c r="AC416" s="86">
        <v>43448</v>
      </c>
    </row>
    <row r="417" spans="29:29" hidden="1" x14ac:dyDescent="0.35">
      <c r="AC417" s="86">
        <v>43449</v>
      </c>
    </row>
    <row r="418" spans="29:29" hidden="1" x14ac:dyDescent="0.35">
      <c r="AC418" s="86">
        <v>43450</v>
      </c>
    </row>
    <row r="419" spans="29:29" hidden="1" x14ac:dyDescent="0.35">
      <c r="AC419" s="86">
        <v>43451</v>
      </c>
    </row>
    <row r="420" spans="29:29" hidden="1" x14ac:dyDescent="0.35">
      <c r="AC420" s="86">
        <v>43452</v>
      </c>
    </row>
    <row r="421" spans="29:29" hidden="1" x14ac:dyDescent="0.35">
      <c r="AC421" s="86">
        <v>43453</v>
      </c>
    </row>
    <row r="422" spans="29:29" hidden="1" x14ac:dyDescent="0.35">
      <c r="AC422" s="86">
        <v>43454</v>
      </c>
    </row>
    <row r="423" spans="29:29" hidden="1" x14ac:dyDescent="0.35">
      <c r="AC423" s="86">
        <v>43455</v>
      </c>
    </row>
    <row r="424" spans="29:29" hidden="1" x14ac:dyDescent="0.35">
      <c r="AC424" s="86">
        <v>43456</v>
      </c>
    </row>
    <row r="425" spans="29:29" hidden="1" x14ac:dyDescent="0.35">
      <c r="AC425" s="86">
        <v>43457</v>
      </c>
    </row>
    <row r="426" spans="29:29" hidden="1" x14ac:dyDescent="0.35">
      <c r="AC426" s="86">
        <v>43458</v>
      </c>
    </row>
    <row r="427" spans="29:29" hidden="1" x14ac:dyDescent="0.35">
      <c r="AC427" s="86">
        <v>43459</v>
      </c>
    </row>
    <row r="428" spans="29:29" hidden="1" x14ac:dyDescent="0.35">
      <c r="AC428" s="86">
        <v>43460</v>
      </c>
    </row>
    <row r="429" spans="29:29" hidden="1" x14ac:dyDescent="0.35">
      <c r="AC429" s="86">
        <v>43461</v>
      </c>
    </row>
    <row r="430" spans="29:29" hidden="1" x14ac:dyDescent="0.35">
      <c r="AC430" s="86">
        <v>43462</v>
      </c>
    </row>
    <row r="431" spans="29:29" hidden="1" x14ac:dyDescent="0.35">
      <c r="AC431" s="86">
        <v>43463</v>
      </c>
    </row>
    <row r="432" spans="29:29" hidden="1" x14ac:dyDescent="0.35">
      <c r="AC432" s="86">
        <v>43464</v>
      </c>
    </row>
    <row r="433" spans="29:29" hidden="1" x14ac:dyDescent="0.35">
      <c r="AC433" s="86">
        <v>43465</v>
      </c>
    </row>
    <row r="434" spans="29:29" hidden="1" x14ac:dyDescent="0.35"/>
    <row r="435" spans="29:29" hidden="1" x14ac:dyDescent="0.35"/>
  </sheetData>
  <mergeCells count="17">
    <mergeCell ref="V30:X30"/>
    <mergeCell ref="D30:F30"/>
    <mergeCell ref="G30:I30"/>
    <mergeCell ref="J30:L30"/>
    <mergeCell ref="M30:O30"/>
    <mergeCell ref="P30:R30"/>
    <mergeCell ref="S30:U30"/>
    <mergeCell ref="W6:Z6"/>
    <mergeCell ref="W7:Z7"/>
    <mergeCell ref="D17:F17"/>
    <mergeCell ref="G17:I17"/>
    <mergeCell ref="J17:L17"/>
    <mergeCell ref="M17:O17"/>
    <mergeCell ref="P17:R17"/>
    <mergeCell ref="S17:U17"/>
    <mergeCell ref="V17:X17"/>
    <mergeCell ref="Y17:Y18"/>
  </mergeCells>
  <conditionalFormatting sqref="D6">
    <cfRule type="containsText" dxfId="1" priority="2" operator="containsText" text="Seleccione">
      <formula>NOT(ISERROR(SEARCH("Seleccione",D6)))</formula>
    </cfRule>
  </conditionalFormatting>
  <conditionalFormatting sqref="W7:Z7">
    <cfRule type="containsText" dxfId="0" priority="1" operator="containsText" text="Seleccione">
      <formula>NOT(ISERROR(SEARCH("Seleccione",W7)))</formula>
    </cfRule>
  </conditionalFormatting>
  <dataValidations count="2">
    <dataValidation type="list" allowBlank="1" showInputMessage="1" showErrorMessage="1" sqref="D6" xr:uid="{9D89B009-67D5-42CA-B308-0D6BFBE351FE}">
      <formula1>$C$68:$C$387</formula1>
    </dataValidation>
    <dataValidation type="list" allowBlank="1" showInputMessage="1" showErrorMessage="1" sqref="W7:Z7" xr:uid="{C41AB9D3-9BF8-40D5-9CB1-D64D0CD629F2}">
      <formula1>$K$69:$K$121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BEFC7E-068A-44AF-BE96-33634149DE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Horas Extras</vt:lpstr>
      <vt:lpstr>Base Empleados</vt:lpstr>
      <vt:lpstr>Hoja3</vt:lpstr>
      <vt:lpstr>'Horas Extras'!Área_de_impresión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nom01</dc:creator>
  <cp:lastModifiedBy>Carolina Mejia</cp:lastModifiedBy>
  <cp:lastPrinted>2019-09-05T14:37:52Z</cp:lastPrinted>
  <dcterms:created xsi:type="dcterms:W3CDTF">2019-07-31T19:31:51Z</dcterms:created>
  <dcterms:modified xsi:type="dcterms:W3CDTF">2023-01-23T20:49:27Z</dcterms:modified>
</cp:coreProperties>
</file>