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fileSharing readOnlyRecommended="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01948\Desktop\"/>
    </mc:Choice>
  </mc:AlternateContent>
  <xr:revisionPtr revIDLastSave="0" documentId="13_ncr:1_{22E374A9-3FBE-4DF4-B215-19AA4EA98AB4}" xr6:coauthVersionLast="47" xr6:coauthVersionMax="47" xr10:uidLastSave="{00000000-0000-0000-0000-000000000000}"/>
  <workbookProtection workbookAlgorithmName="SHA-512" workbookHashValue="Vw4gZbPIO6BciA1u4x2u0fsgpejcoGWpt9t/GtZKWNOZd3y3bW5aMvJN5TU7BLiITtikdtbNV2fZvpwPAM+WpQ==" workbookSaltValue="61IhH1UAszA/6sFARe8qMg==" workbookSpinCount="100000" lockStructure="1"/>
  <bookViews>
    <workbookView xWindow="-120" yWindow="-120" windowWidth="20730" windowHeight="11040" xr2:uid="{0097C695-CD1E-4E36-B507-F99A244E4D38}"/>
  </bookViews>
  <sheets>
    <sheet name="RH-2024" sheetId="1" r:id="rId1"/>
    <sheet name="Hoja2" sheetId="2" state="hidden" r:id="rId2"/>
  </sheets>
  <definedNames>
    <definedName name="_xlnm._FilterDatabase" localSheetId="1" hidden="1">Hoja2!$H$1:$I$1</definedName>
    <definedName name="_xlnm.Print_Area" localSheetId="0">'RH-2024'!$A$1:$BN$150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2" i="1" l="1"/>
  <c r="O32" i="1"/>
  <c r="BC80" i="1"/>
  <c r="AI91" i="1"/>
  <c r="O91" i="1" s="1"/>
  <c r="BC23" i="1"/>
  <c r="AU10" i="1" l="1"/>
</calcChain>
</file>

<file path=xl/sharedStrings.xml><?xml version="1.0" encoding="utf-8"?>
<sst xmlns="http://schemas.openxmlformats.org/spreadsheetml/2006/main" count="596" uniqueCount="296">
  <si>
    <t>AVISO DE CAMBIO DE SITUACIÓN DE PERSONAL</t>
  </si>
  <si>
    <t>CANON MEXICANA, S. DE R.L. DE C.V.</t>
  </si>
  <si>
    <t>FECHA:</t>
  </si>
  <si>
    <t>NÚMERO DE EMPLEADO:</t>
  </si>
  <si>
    <t>NOMBRE DEL EMPLEADO:</t>
  </si>
  <si>
    <t>PUESTO ACTUAL:</t>
  </si>
  <si>
    <t>INGENIERO SR</t>
  </si>
  <si>
    <t xml:space="preserve">BANDA: </t>
  </si>
  <si>
    <t>ÁREA:</t>
  </si>
  <si>
    <t>DIVISIÓN:</t>
  </si>
  <si>
    <t>ITCG</t>
  </si>
  <si>
    <t>CENTRO DE COSTO:</t>
  </si>
  <si>
    <t>CODIGO EN NÓMINA:</t>
  </si>
  <si>
    <t>UBICACIÓN:</t>
  </si>
  <si>
    <t xml:space="preserve">FORÁNEO </t>
  </si>
  <si>
    <t>SUELDO MENSUAL ACTUAL (MN):</t>
  </si>
  <si>
    <t>FECHA DE MOVIMIENTO :</t>
  </si>
  <si>
    <t>día</t>
  </si>
  <si>
    <t>mes</t>
  </si>
  <si>
    <t>año</t>
  </si>
  <si>
    <t>ÚLTIMO MOVIMIENTO:</t>
  </si>
  <si>
    <t xml:space="preserve">SELECCIONA </t>
  </si>
  <si>
    <t>-</t>
  </si>
  <si>
    <t>MOVIMIENTO A REALIZAR:</t>
  </si>
  <si>
    <t>PARA EFECTUARSE EL :</t>
  </si>
  <si>
    <t>JUSTIFICACIÓN DEL MOVIMIENTO</t>
  </si>
  <si>
    <t xml:space="preserve">En caso de ser BAJA, dejar en blanco el siguiente espacio. En caso de ser CAMBIO o PROMOCIÓN, llenar únicamente los campos donde exista alguna modificación. </t>
  </si>
  <si>
    <t>PROPUESTA DE PUESTO:</t>
  </si>
  <si>
    <t>OPERADOR</t>
  </si>
  <si>
    <t>BANDA:</t>
  </si>
  <si>
    <t>ÁREA PROPUESTA:</t>
  </si>
  <si>
    <t>CANON ACADEMY</t>
  </si>
  <si>
    <t>NUEVO SUELDO MENSUAL (MN):</t>
  </si>
  <si>
    <t>COMENTARIOS ADICIONALES</t>
  </si>
  <si>
    <t>GERENTE DE ÁREA</t>
  </si>
  <si>
    <t>DIRECTOR DE DIVISIÓN</t>
  </si>
  <si>
    <t>RECURSOS HUMANOS</t>
  </si>
  <si>
    <t>VICEPRESIDENTE</t>
  </si>
  <si>
    <t>PRESIDENTE</t>
  </si>
  <si>
    <t>NOMBRE</t>
  </si>
  <si>
    <t xml:space="preserve">LUIS GARCÍA </t>
  </si>
  <si>
    <t>CAROLINA MEJÍA</t>
  </si>
  <si>
    <t>SOLICITADO POR:</t>
  </si>
  <si>
    <r>
      <t>AUTORIZADO POR</t>
    </r>
    <r>
      <rPr>
        <b/>
        <sz val="8"/>
        <rFont val="Trebuchet MS"/>
        <family val="2"/>
      </rPr>
      <t>:</t>
    </r>
  </si>
  <si>
    <t>AUTORIZADO</t>
  </si>
  <si>
    <t>FECHA:  ___/____/____</t>
  </si>
  <si>
    <r>
      <rPr>
        <b/>
        <i/>
        <sz val="9"/>
        <rFont val="Trebuchet MS"/>
        <family val="2"/>
      </rPr>
      <t>NOTA</t>
    </r>
    <r>
      <rPr>
        <b/>
        <sz val="8"/>
        <rFont val="Trebuchet MS"/>
        <family val="2"/>
      </rPr>
      <t>: Este documento no será valido si presenta tachaduras, enmendaduras y/o correcciones hechas a mano.</t>
    </r>
  </si>
  <si>
    <t>BANDA</t>
  </si>
  <si>
    <t>Puesto</t>
  </si>
  <si>
    <t>Banda</t>
  </si>
  <si>
    <t>ADMON</t>
  </si>
  <si>
    <t>A</t>
  </si>
  <si>
    <t>ADMINISTRADOR</t>
  </si>
  <si>
    <t>BICG</t>
  </si>
  <si>
    <t>B</t>
  </si>
  <si>
    <t>ADMINISTRADORA</t>
  </si>
  <si>
    <t>B - Ventas</t>
  </si>
  <si>
    <t>ADVISOR</t>
  </si>
  <si>
    <t>D</t>
  </si>
  <si>
    <t>Selecciona</t>
  </si>
  <si>
    <t>C</t>
  </si>
  <si>
    <t>ANALISTA</t>
  </si>
  <si>
    <t>ANALISTA SR.</t>
  </si>
  <si>
    <t>BAJA</t>
  </si>
  <si>
    <t>E</t>
  </si>
  <si>
    <t>ASISTENTE</t>
  </si>
  <si>
    <t>CAMBIO</t>
  </si>
  <si>
    <t>F</t>
  </si>
  <si>
    <t>COORDINADOR</t>
  </si>
  <si>
    <t>PROMOCIÓN</t>
  </si>
  <si>
    <t>COORDINADORA</t>
  </si>
  <si>
    <t>DIRECTOR</t>
  </si>
  <si>
    <t>DIRECTORA</t>
  </si>
  <si>
    <t>UBICACIÓN</t>
  </si>
  <si>
    <t>DIRECTOR SENIOR</t>
  </si>
  <si>
    <t>ALMACÉN</t>
  </si>
  <si>
    <t>DIRECTORA SENIOR</t>
  </si>
  <si>
    <t>ESPECIALISTA</t>
  </si>
  <si>
    <t>SI</t>
  </si>
  <si>
    <t>FORÁNEO</t>
  </si>
  <si>
    <t>ESPECIALISTA SR.</t>
  </si>
  <si>
    <t>NO</t>
  </si>
  <si>
    <t>OFICINAS - ALTIVA</t>
  </si>
  <si>
    <t>GERENTE</t>
  </si>
  <si>
    <t>N/A</t>
  </si>
  <si>
    <t>GERENTE SENIOR</t>
  </si>
  <si>
    <t>Selec</t>
  </si>
  <si>
    <t>INGENIERA</t>
  </si>
  <si>
    <t>INGENIERO</t>
  </si>
  <si>
    <t>USUARIO ANTERIOR</t>
  </si>
  <si>
    <t>INGENIERO SR.</t>
  </si>
  <si>
    <t>NUEVO</t>
  </si>
  <si>
    <t>INGENIERA SR.</t>
  </si>
  <si>
    <t>REPRESENTANTE DE VENTAS</t>
  </si>
  <si>
    <t>SUPERVISOR</t>
  </si>
  <si>
    <t>PERSONAL</t>
  </si>
  <si>
    <t>SUPERVISORA</t>
  </si>
  <si>
    <t>COMPARTIDO</t>
  </si>
  <si>
    <t>TÉCNICO</t>
  </si>
  <si>
    <t>TÉCNICA</t>
  </si>
  <si>
    <t>DIARIO</t>
  </si>
  <si>
    <t>SEMANAL</t>
  </si>
  <si>
    <t>MENSUAL</t>
  </si>
  <si>
    <t>OCASIONAL</t>
  </si>
  <si>
    <t>ACCOUNTING</t>
  </si>
  <si>
    <t>AA110</t>
  </si>
  <si>
    <t>ADM</t>
  </si>
  <si>
    <t>ADMINISTRATION</t>
  </si>
  <si>
    <t>AV680</t>
  </si>
  <si>
    <t>BICG SERVICE ADMINISTRATION</t>
  </si>
  <si>
    <t>AV500</t>
  </si>
  <si>
    <t>BUDGET CONTROL</t>
  </si>
  <si>
    <t>BUSINESS OPERATIONS AND SUPPORT</t>
  </si>
  <si>
    <t>AV230</t>
  </si>
  <si>
    <t>CANON ACADEMY AND NEW BUSINESS OPERATION</t>
  </si>
  <si>
    <t>AV710</t>
  </si>
  <si>
    <t>CANON ACADEMY AND NEW BUSINESS OPERATION MTY</t>
  </si>
  <si>
    <t>CONSUMER PRODUCT SALES &amp; MARKETING</t>
  </si>
  <si>
    <t>AV660</t>
  </si>
  <si>
    <t>CORPORATE COMMUNICATIONS</t>
  </si>
  <si>
    <t>AA030</t>
  </si>
  <si>
    <t>CREDIT AND COLLECTION</t>
  </si>
  <si>
    <t>AA120</t>
  </si>
  <si>
    <t>DEALERS IN-DIRECT SALES</t>
  </si>
  <si>
    <t>AV210</t>
  </si>
  <si>
    <t>DISTRIBUTION CENTER</t>
  </si>
  <si>
    <t>AA140</t>
  </si>
  <si>
    <t>E - COMMERCE &amp; DIGITAL</t>
  </si>
  <si>
    <t>AV670</t>
  </si>
  <si>
    <t>ENTERPRISE BUSINESS SOLUTIONS DIRECT SALES</t>
  </si>
  <si>
    <t>AV240</t>
  </si>
  <si>
    <t>FINANCE PLANNING</t>
  </si>
  <si>
    <t>FINANCIAL SERVICES</t>
  </si>
  <si>
    <t>AA160</t>
  </si>
  <si>
    <t>GENERAL AFFAIRS</t>
  </si>
  <si>
    <t>AA220</t>
  </si>
  <si>
    <t>HEALTHCARE SOLUTIONS SALES AND SUPPORT</t>
  </si>
  <si>
    <t>AV290</t>
  </si>
  <si>
    <t>HUMAN RESOURCES</t>
  </si>
  <si>
    <t>AA210</t>
  </si>
  <si>
    <t>INTERNAL AUDIT</t>
  </si>
  <si>
    <t>AA050</t>
  </si>
  <si>
    <t>IT</t>
  </si>
  <si>
    <t>AA130</t>
  </si>
  <si>
    <t>ITCG DESIGN</t>
  </si>
  <si>
    <t>AV610</t>
  </si>
  <si>
    <t>ITCG DIRECT SERVICE</t>
  </si>
  <si>
    <t>AV520</t>
  </si>
  <si>
    <t>ITCG PHOTOSHOP SALES</t>
  </si>
  <si>
    <t>AV630</t>
  </si>
  <si>
    <t>ITCG PROCUREMENT</t>
  </si>
  <si>
    <t>AV650</t>
  </si>
  <si>
    <t>ITCG RETAIL SALES</t>
  </si>
  <si>
    <t>AV620</t>
  </si>
  <si>
    <t>ITCG SERVICE ADMINISTRATION</t>
  </si>
  <si>
    <t>AV530</t>
  </si>
  <si>
    <t>ITCG WHOLESALER SALES</t>
  </si>
  <si>
    <t>AV640</t>
  </si>
  <si>
    <t>LEGAL</t>
  </si>
  <si>
    <t>AA020</t>
  </si>
  <si>
    <t>LOYALTY PROGRAM AND CONTENTS CREATION</t>
  </si>
  <si>
    <t>MARKETING SERVICES</t>
  </si>
  <si>
    <t>AV220</t>
  </si>
  <si>
    <t>MDS DELIVERY AND MANAGEMENT</t>
  </si>
  <si>
    <t>AV260</t>
  </si>
  <si>
    <t>NEW BUSINESS CUSTOMER EXPERIENCE</t>
  </si>
  <si>
    <t>NEW BUSINESS SALES</t>
  </si>
  <si>
    <t>AV700</t>
  </si>
  <si>
    <t>OBS FIELD SERVICE OPERATION</t>
  </si>
  <si>
    <t>AV510</t>
  </si>
  <si>
    <t>OBS INTEGRATORS IN-DIRECT SALES</t>
  </si>
  <si>
    <t>OBS PRODUCT &amp; VERTICAL MARKETING AND TRAINING</t>
  </si>
  <si>
    <t>OFFICE PRODUCT SALES &amp; MARKETING</t>
  </si>
  <si>
    <t>ORDER MANAGEMENT</t>
  </si>
  <si>
    <t>PPS DIRECT AND IN-DIRECT SALES</t>
  </si>
  <si>
    <t>KV700</t>
  </si>
  <si>
    <t>PPS FIELD SERVICE OPERATION</t>
  </si>
  <si>
    <t>AV540</t>
  </si>
  <si>
    <t>PPS PRODUCT &amp; SEGMENT MARKETING, TRAINING</t>
  </si>
  <si>
    <t>PPS PROFESSIONAL SERVICE OPERATIONS</t>
  </si>
  <si>
    <t>AV250</t>
  </si>
  <si>
    <t>PRESIDENCY</t>
  </si>
  <si>
    <t>AA010</t>
  </si>
  <si>
    <t>PROCUREMENT</t>
  </si>
  <si>
    <t>AA230</t>
  </si>
  <si>
    <t>PRODUCT CONTROL, SERVICE PLANNING &amp; PARTS MANAGEMENT</t>
  </si>
  <si>
    <t>PROFESSIONAL &amp; BROADCAST SALES &amp; MARKETING</t>
  </si>
  <si>
    <t>AV690</t>
  </si>
  <si>
    <t>STRATEGIC ANALYSIS AND OPPORTUNITY MANAGEMENT</t>
  </si>
  <si>
    <t>AV310</t>
  </si>
  <si>
    <t>TRADE MARKETING</t>
  </si>
  <si>
    <t>AV600</t>
  </si>
  <si>
    <t>TRAFFIC</t>
  </si>
  <si>
    <t>AA150</t>
  </si>
  <si>
    <t>ALTA</t>
  </si>
  <si>
    <t>enero</t>
  </si>
  <si>
    <t>febrero</t>
  </si>
  <si>
    <t xml:space="preserve">marzo </t>
  </si>
  <si>
    <t xml:space="preserve">abril </t>
  </si>
  <si>
    <t xml:space="preserve">mayo </t>
  </si>
  <si>
    <t>junio</t>
  </si>
  <si>
    <t>julio</t>
  </si>
  <si>
    <t xml:space="preserve">agosto </t>
  </si>
  <si>
    <t>septiembre</t>
  </si>
  <si>
    <t>octubre</t>
  </si>
  <si>
    <t>noviembre</t>
  </si>
  <si>
    <t>diciembre</t>
  </si>
  <si>
    <t xml:space="preserve">enero </t>
  </si>
  <si>
    <t>nombre_puesto</t>
  </si>
  <si>
    <t>banda</t>
  </si>
  <si>
    <t>nombre_area</t>
  </si>
  <si>
    <t>centro_costo</t>
  </si>
  <si>
    <t>marzo</t>
  </si>
  <si>
    <t>abril</t>
  </si>
  <si>
    <t>ANALISTA SENIOR</t>
  </si>
  <si>
    <t>SELECCIONA</t>
  </si>
  <si>
    <t>mayo</t>
  </si>
  <si>
    <t>ASESOR</t>
  </si>
  <si>
    <t>agosto</t>
  </si>
  <si>
    <t>DIRECTOR DE PLANEACION DE NEGOCIOS</t>
  </si>
  <si>
    <t>DIRECTOR SR</t>
  </si>
  <si>
    <t>ESPECIALISTA SR</t>
  </si>
  <si>
    <t>GERENTE DE COMUNICACION Y SERVICIOS GENERALES</t>
  </si>
  <si>
    <t>GERENTE SR</t>
  </si>
  <si>
    <t>HEAD OF DIGITAL TRANSFORMATION LATAM</t>
  </si>
  <si>
    <t>B- VENTAS</t>
  </si>
  <si>
    <t>TECNICO</t>
  </si>
  <si>
    <t>CAMBIO DE AREA</t>
  </si>
  <si>
    <t xml:space="preserve">AJUSTE SALARIAL </t>
  </si>
  <si>
    <t xml:space="preserve">PROMOCION </t>
  </si>
  <si>
    <t>AV340</t>
  </si>
  <si>
    <t xml:space="preserve">ALMCEN </t>
  </si>
  <si>
    <t>AV330</t>
  </si>
  <si>
    <t xml:space="preserve">CANON ACADEMY </t>
  </si>
  <si>
    <t xml:space="preserve">OFICINAS- ALTIVA </t>
  </si>
  <si>
    <t>AV720</t>
  </si>
  <si>
    <t>AV730</t>
  </si>
  <si>
    <t>REGRH-011</t>
  </si>
  <si>
    <t>AKIRA IKEDA</t>
  </si>
  <si>
    <t>Accounting</t>
  </si>
  <si>
    <t>Budget and Treasury</t>
  </si>
  <si>
    <t>Consumer Direct Sales</t>
  </si>
  <si>
    <t>Corporate Communications</t>
  </si>
  <si>
    <t>Credit and Collection</t>
  </si>
  <si>
    <t>Dealers Sales</t>
  </si>
  <si>
    <t>Enterprise Business Solutions Direct Sales</t>
  </si>
  <si>
    <t>Financial Services</t>
  </si>
  <si>
    <t>General Affairs</t>
  </si>
  <si>
    <t>Human Resources</t>
  </si>
  <si>
    <t>Internal Audit</t>
  </si>
  <si>
    <t>Legal</t>
  </si>
  <si>
    <t>Photoshop Sales</t>
  </si>
  <si>
    <t>Presidency</t>
  </si>
  <si>
    <t>Procurement</t>
  </si>
  <si>
    <t>Retail Sales</t>
  </si>
  <si>
    <t>Sales Marketing Operation</t>
  </si>
  <si>
    <t>Tienda Canon</t>
  </si>
  <si>
    <t>Trade Marketing</t>
  </si>
  <si>
    <t>Wholesaler Sales</t>
  </si>
  <si>
    <t>FIN</t>
  </si>
  <si>
    <t xml:space="preserve">Logistics </t>
  </si>
  <si>
    <t>AUDIT</t>
  </si>
  <si>
    <t>SALES</t>
  </si>
  <si>
    <t>MKTG</t>
  </si>
  <si>
    <t>NORTH ZONE</t>
  </si>
  <si>
    <t>BUSSINES OP</t>
  </si>
  <si>
    <t>SERVPLAN</t>
  </si>
  <si>
    <t>PPS Sales</t>
  </si>
  <si>
    <t>Product Planning &amp; Mktg.OBS</t>
  </si>
  <si>
    <t>Product Planning &amp; Mktg.PPS</t>
  </si>
  <si>
    <t>AV320</t>
  </si>
  <si>
    <t>Canon Academy  &amp; Print Spot</t>
  </si>
  <si>
    <t>Event Experience &amp; CPS</t>
  </si>
  <si>
    <t>Product Planning &amp; Mktg. Camera IJP</t>
  </si>
  <si>
    <t>Product Planning &amp; Mktg. SOHO/LFP</t>
  </si>
  <si>
    <t>Mktg. &amp; Sales Cinema BCTV</t>
  </si>
  <si>
    <t>Digital Marketing &amp; Design</t>
  </si>
  <si>
    <t xml:space="preserve">AV670 </t>
  </si>
  <si>
    <t>Business Planning Services</t>
  </si>
  <si>
    <t>BUSINESS OP</t>
  </si>
  <si>
    <t>Strategic Analysis &amp; Opp Mgmt</t>
  </si>
  <si>
    <t>Managed Delivery Services</t>
  </si>
  <si>
    <t>Consumer Bussiness Planning &amp; Adm</t>
  </si>
  <si>
    <t>Consumer Product Control</t>
  </si>
  <si>
    <t>Care Center</t>
  </si>
  <si>
    <t>AV280</t>
  </si>
  <si>
    <t>Service Administration</t>
  </si>
  <si>
    <t>Direct Service</t>
  </si>
  <si>
    <t xml:space="preserve">Solutions Technical support </t>
  </si>
  <si>
    <t>RFB Service</t>
  </si>
  <si>
    <t>AV270</t>
  </si>
  <si>
    <t>Photo Service</t>
  </si>
  <si>
    <t>Business Printing Sales Mktg</t>
  </si>
  <si>
    <t>Consumer Sales Marketing</t>
  </si>
  <si>
    <t xml:space="preserve">Business Operation </t>
  </si>
  <si>
    <t>LATAM Mktgn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</si>
</sst>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mmmm\ d\,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rebuchet MS"/>
      <family val="2"/>
    </font>
    <font>
      <b/>
      <sz val="18"/>
      <name val="Trebuchet MS"/>
      <family val="2"/>
    </font>
    <font>
      <b/>
      <sz val="10"/>
      <name val="Trebuchet MS"/>
      <family val="2"/>
    </font>
    <font>
      <b/>
      <sz val="9"/>
      <name val="Trebuchet MS"/>
      <family val="2"/>
    </font>
    <font>
      <sz val="11"/>
      <name val="Trebuchet MS"/>
      <family val="2"/>
    </font>
    <font>
      <sz val="12"/>
      <name val="Trebuchet MS"/>
      <family val="2"/>
    </font>
    <font>
      <b/>
      <sz val="12"/>
      <name val="Trebuchet MS"/>
      <family val="2"/>
    </font>
    <font>
      <sz val="9"/>
      <name val="Trebuchet MS"/>
      <family val="2"/>
    </font>
    <font>
      <b/>
      <i/>
      <sz val="12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  <font>
      <b/>
      <i/>
      <sz val="9"/>
      <name val="Trebuchet MS"/>
      <family val="2"/>
    </font>
    <font>
      <sz val="10"/>
      <color theme="1"/>
      <name val="Trebuchet MS"/>
      <family val="2"/>
    </font>
    <font>
      <sz val="5"/>
      <name val="Trebuchet MS"/>
      <family val="2"/>
    </font>
    <font>
      <sz val="7"/>
      <name val="Trebuchet MS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name val="Trebuchet MS"/>
      <family val="2"/>
    </font>
    <font>
      <sz val="10"/>
      <color rgb="FF797979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Trebuchet MS"/>
      <family val="2"/>
    </font>
    <font>
      <b/>
      <sz val="12"/>
      <color theme="8" tint="-0.249977111117893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2" fillId="0" borderId="18" xfId="0" applyFont="1" applyBorder="1" applyAlignment="1">
      <alignment horizontal="center"/>
    </xf>
    <xf numFmtId="0" fontId="19" fillId="0" borderId="19" xfId="2" applyFont="1" applyBorder="1" applyAlignment="1">
      <alignment horizontal="center" vertical="center"/>
    </xf>
    <xf numFmtId="0" fontId="3" fillId="0" borderId="0" xfId="0" applyFont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3" borderId="0" xfId="0" applyFont="1" applyFill="1" applyAlignment="1" applyProtection="1">
      <alignment vertical="center" wrapText="1"/>
      <protection locked="0"/>
    </xf>
    <xf numFmtId="0" fontId="3" fillId="3" borderId="0" xfId="0" applyFont="1" applyFill="1" applyAlignment="1" applyProtection="1">
      <alignment vertical="center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164" fontId="6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64" fontId="10" fillId="0" borderId="0" xfId="0" applyNumberFormat="1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44" fontId="9" fillId="0" borderId="0" xfId="0" applyNumberFormat="1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44" fontId="3" fillId="0" borderId="0" xfId="1" applyFont="1" applyAlignment="1" applyProtection="1">
      <alignment vertical="center" wrapText="1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3" fillId="0" borderId="7" xfId="0" applyFont="1" applyBorder="1" applyAlignment="1" applyProtection="1">
      <alignment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9" xfId="0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13" fillId="3" borderId="0" xfId="0" applyFont="1" applyFill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right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right" vertical="center" wrapText="1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20" xfId="0" applyFont="1" applyBorder="1" applyAlignment="1" applyProtection="1">
      <alignment horizontal="left" vertical="center"/>
      <protection locked="0"/>
    </xf>
    <xf numFmtId="0" fontId="23" fillId="0" borderId="0" xfId="0" applyFont="1" applyProtection="1">
      <protection locked="0"/>
    </xf>
    <xf numFmtId="0" fontId="24" fillId="0" borderId="18" xfId="0" applyFont="1" applyBorder="1" applyAlignment="1">
      <alignment horizontal="center"/>
    </xf>
    <xf numFmtId="0" fontId="25" fillId="0" borderId="0" xfId="0" applyFont="1"/>
    <xf numFmtId="0" fontId="26" fillId="0" borderId="18" xfId="0" applyFont="1" applyBorder="1" applyAlignment="1">
      <alignment horizontal="center"/>
    </xf>
    <xf numFmtId="0" fontId="27" fillId="0" borderId="0" xfId="0" applyFont="1"/>
    <xf numFmtId="0" fontId="19" fillId="0" borderId="19" xfId="2" applyFont="1" applyBorder="1" applyAlignment="1">
      <alignment vertical="center"/>
    </xf>
    <xf numFmtId="0" fontId="20" fillId="5" borderId="19" xfId="2" applyFont="1" applyFill="1" applyBorder="1" applyAlignment="1">
      <alignment vertical="center"/>
    </xf>
    <xf numFmtId="0" fontId="20" fillId="0" borderId="19" xfId="2" applyFont="1" applyBorder="1" applyAlignment="1">
      <alignment horizontal="center" vertical="center"/>
    </xf>
    <xf numFmtId="0" fontId="20" fillId="0" borderId="19" xfId="2" applyFont="1" applyBorder="1" applyAlignment="1">
      <alignment vertical="center"/>
    </xf>
    <xf numFmtId="0" fontId="21" fillId="0" borderId="19" xfId="2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29" fillId="5" borderId="19" xfId="2" applyFont="1" applyFill="1" applyBorder="1" applyAlignment="1">
      <alignment horizontal="left" vertical="center"/>
    </xf>
    <xf numFmtId="0" fontId="20" fillId="0" borderId="0" xfId="2" applyFont="1" applyAlignment="1">
      <alignment vertical="center"/>
    </xf>
    <xf numFmtId="0" fontId="20" fillId="0" borderId="0" xfId="2" applyFont="1" applyAlignment="1">
      <alignment horizontal="center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8" fillId="3" borderId="0" xfId="0" applyFont="1" applyFill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5" fillId="3" borderId="0" xfId="0" applyFont="1" applyFill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center" vertical="center"/>
      <protection locked="0"/>
    </xf>
    <xf numFmtId="0" fontId="5" fillId="3" borderId="7" xfId="0" applyFont="1" applyFill="1" applyBorder="1" applyAlignment="1" applyProtection="1">
      <alignment horizontal="center" vertical="center"/>
      <protection locked="0"/>
    </xf>
    <xf numFmtId="0" fontId="5" fillId="3" borderId="8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9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13" fillId="3" borderId="4" xfId="0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Alignment="1" applyProtection="1">
      <alignment horizontal="center" vertical="center"/>
      <protection locked="0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44" fontId="9" fillId="0" borderId="0" xfId="0" applyNumberFormat="1" applyFont="1" applyAlignment="1" applyProtection="1">
      <alignment horizontal="center" vertical="center" wrapText="1"/>
      <protection locked="0"/>
    </xf>
    <xf numFmtId="44" fontId="9" fillId="0" borderId="2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44" fontId="7" fillId="0" borderId="0" xfId="1" applyFont="1" applyBorder="1" applyAlignment="1" applyProtection="1">
      <alignment horizontal="center" vertical="center" wrapText="1"/>
      <protection locked="0"/>
    </xf>
    <xf numFmtId="44" fontId="7" fillId="0" borderId="1" xfId="1" applyFont="1" applyBorder="1" applyAlignment="1" applyProtection="1">
      <alignment horizontal="center" vertical="center" wrapText="1"/>
      <protection locked="0"/>
    </xf>
    <xf numFmtId="0" fontId="5" fillId="3" borderId="0" xfId="0" applyFont="1" applyFill="1" applyAlignment="1" applyProtection="1">
      <alignment horizontal="right" vertical="center" wrapText="1"/>
      <protection locked="0"/>
    </xf>
    <xf numFmtId="0" fontId="5" fillId="3" borderId="1" xfId="0" applyFont="1" applyFill="1" applyBorder="1" applyAlignment="1" applyProtection="1">
      <alignment horizontal="right" vertical="center" wrapText="1"/>
      <protection locked="0"/>
    </xf>
    <xf numFmtId="0" fontId="9" fillId="3" borderId="0" xfId="0" applyFont="1" applyFill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left" vertical="center" wrapText="1"/>
      <protection locked="0"/>
    </xf>
    <xf numFmtId="0" fontId="22" fillId="0" borderId="1" xfId="0" applyFont="1" applyBorder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right" vertical="center" wrapText="1"/>
      <protection locked="0"/>
    </xf>
    <xf numFmtId="0" fontId="5" fillId="0" borderId="1" xfId="0" applyFont="1" applyBorder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hidden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left" vertical="center" wrapText="1"/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8" fillId="3" borderId="0" xfId="0" applyFont="1" applyFill="1" applyAlignment="1" applyProtection="1">
      <alignment horizontal="center" vertical="center"/>
      <protection hidden="1"/>
    </xf>
    <xf numFmtId="0" fontId="8" fillId="3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164" fontId="5" fillId="0" borderId="0" xfId="0" applyNumberFormat="1" applyFont="1" applyAlignment="1" applyProtection="1">
      <alignment horizontal="center" vertical="center" wrapText="1"/>
      <protection locked="0"/>
    </xf>
    <xf numFmtId="164" fontId="5" fillId="0" borderId="1" xfId="0" applyNumberFormat="1" applyFont="1" applyBorder="1" applyAlignment="1" applyProtection="1">
      <alignment horizontal="center" vertical="center" wrapText="1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28" fillId="0" borderId="1" xfId="0" applyFont="1" applyBorder="1" applyAlignment="1" applyProtection="1">
      <alignment horizontal="center" vertical="center"/>
      <protection locked="0"/>
    </xf>
    <xf numFmtId="0" fontId="20" fillId="6" borderId="19" xfId="2" applyFont="1" applyFill="1" applyBorder="1" applyAlignment="1">
      <alignment horizontal="center" vertical="center"/>
    </xf>
    <xf numFmtId="49" fontId="30" fillId="0" borderId="19" xfId="3" applyNumberFormat="1" applyFont="1" applyBorder="1" applyAlignment="1">
      <alignment horizontal="center" vertical="center"/>
    </xf>
    <xf numFmtId="0" fontId="30" fillId="0" borderId="19" xfId="3" applyFont="1" applyBorder="1" applyAlignment="1">
      <alignment horizontal="center" vertical="center"/>
    </xf>
    <xf numFmtId="0" fontId="19" fillId="6" borderId="19" xfId="2" applyFont="1" applyFill="1" applyBorder="1" applyAlignment="1">
      <alignment horizontal="center" vertical="center"/>
    </xf>
    <xf numFmtId="0" fontId="19" fillId="6" borderId="19" xfId="2" applyFont="1" applyFill="1" applyBorder="1" applyAlignment="1">
      <alignment vertical="center"/>
    </xf>
    <xf numFmtId="49" fontId="30" fillId="6" borderId="19" xfId="3" applyNumberFormat="1" applyFont="1" applyFill="1" applyBorder="1" applyAlignment="1">
      <alignment horizontal="center" vertical="center"/>
    </xf>
    <xf numFmtId="0" fontId="30" fillId="6" borderId="19" xfId="3" applyFont="1" applyFill="1" applyBorder="1" applyAlignment="1">
      <alignment horizontal="center" vertical="center"/>
    </xf>
    <xf numFmtId="0" fontId="20" fillId="0" borderId="19" xfId="2" applyFont="1" applyBorder="1" applyAlignment="1">
      <alignment horizontal="left" vertical="center"/>
    </xf>
    <xf numFmtId="0" fontId="30" fillId="6" borderId="19" xfId="4" applyFont="1" applyFill="1" applyBorder="1" applyAlignment="1">
      <alignment horizontal="center" vertical="center"/>
    </xf>
    <xf numFmtId="0" fontId="19" fillId="6" borderId="0" xfId="2" applyFont="1" applyFill="1" applyAlignment="1">
      <alignment vertical="center"/>
    </xf>
  </cellXfs>
  <cellStyles count="5">
    <cellStyle name="Moneda" xfId="1" builtinId="4"/>
    <cellStyle name="Normal" xfId="0" builtinId="0"/>
    <cellStyle name="Normal 2" xfId="2" xr:uid="{D6DF6C8D-18F9-4B0A-A40B-B35808D28142}"/>
    <cellStyle name="Normal 2 2" xfId="4" xr:uid="{CD21B659-4141-43CA-9445-DF667ECBB424}"/>
    <cellStyle name="Normal 3 2 2" xfId="3" xr:uid="{CB0E9638-F07A-4CEB-9C18-FD35AB7E641D}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FF00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b val="0"/>
        <i val="0"/>
        <condense val="0"/>
        <extend val="0"/>
        <color indexed="9"/>
      </font>
      <fill>
        <patternFill>
          <bgColor indexed="9"/>
        </patternFill>
      </fill>
    </dxf>
    <dxf>
      <font>
        <color rgb="FF006100"/>
      </font>
      <fill>
        <patternFill>
          <bgColor rgb="FF2BED3D"/>
        </patternFill>
      </fill>
    </dxf>
    <dxf>
      <font>
        <b val="0"/>
        <i val="0"/>
        <condense val="0"/>
        <extend val="0"/>
        <color indexed="9"/>
      </font>
      <fill>
        <patternFill>
          <bgColor indexed="9"/>
        </patternFill>
      </fill>
    </dxf>
    <dxf>
      <font>
        <b val="0"/>
        <i val="0"/>
        <condense val="0"/>
        <extend val="0"/>
        <color indexed="9"/>
      </font>
      <fill>
        <patternFill>
          <bgColor indexed="9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indexed="8"/>
      </font>
      <fill>
        <patternFill>
          <bgColor indexed="11"/>
        </patternFill>
      </fill>
    </dxf>
    <dxf>
      <font>
        <b val="0"/>
        <i val="0"/>
        <condense val="0"/>
        <extend val="0"/>
        <color indexed="9"/>
      </font>
      <fill>
        <patternFill>
          <bgColor indexed="9"/>
        </patternFill>
      </fill>
    </dxf>
    <dxf>
      <font>
        <color auto="1"/>
      </font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00FF00"/>
        </patternFill>
      </fill>
    </dxf>
    <dxf>
      <font>
        <color auto="1"/>
      </font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indexed="8"/>
      </font>
      <fill>
        <patternFill>
          <bgColor indexed="11"/>
        </patternFill>
      </fill>
    </dxf>
    <dxf>
      <font>
        <b val="0"/>
        <i val="0"/>
        <condense val="0"/>
        <extend val="0"/>
        <color indexed="9"/>
      </font>
      <fill>
        <patternFill>
          <bgColor indexed="9"/>
        </patternFill>
      </fill>
    </dxf>
    <dxf>
      <font>
        <color rgb="FF006100"/>
      </font>
      <fill>
        <patternFill>
          <bgColor rgb="FF2BED3D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indexed="8"/>
      </font>
      <fill>
        <patternFill>
          <bgColor indexed="11"/>
        </patternFill>
      </fill>
    </dxf>
    <dxf>
      <font>
        <color auto="1"/>
      </font>
      <fill>
        <patternFill>
          <bgColor rgb="FF00FF00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condense val="0"/>
        <extend val="0"/>
        <color auto="1"/>
      </font>
      <border>
        <bottom style="thin">
          <color indexed="64"/>
        </bottom>
      </border>
    </dxf>
    <dxf>
      <fill>
        <patternFill patternType="solid">
          <bgColor rgb="FF66FF33"/>
        </patternFill>
      </fill>
    </dxf>
    <dxf>
      <font>
        <color auto="1"/>
      </font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b val="0"/>
        <i val="0"/>
        <condense val="0"/>
        <extend val="0"/>
        <color indexed="9"/>
      </font>
      <fill>
        <patternFill>
          <bgColor indexed="9"/>
        </patternFill>
      </fill>
    </dxf>
    <dxf>
      <font>
        <color rgb="FF006100"/>
      </font>
      <fill>
        <patternFill>
          <bgColor rgb="FF2BED3D"/>
        </patternFill>
      </fill>
    </dxf>
    <dxf>
      <fill>
        <patternFill>
          <bgColor rgb="FF66FF66"/>
        </patternFill>
      </fill>
    </dxf>
    <dxf>
      <font>
        <b val="0"/>
        <i val="0"/>
        <condense val="0"/>
        <extend val="0"/>
        <color indexed="9"/>
      </font>
      <fill>
        <patternFill>
          <bgColor indexed="9"/>
        </patternFill>
      </fill>
    </dxf>
    <dxf>
      <font>
        <b val="0"/>
        <i val="0"/>
        <condense val="0"/>
        <extend val="0"/>
        <color indexed="9"/>
      </font>
      <fill>
        <patternFill>
          <bgColor indexed="9"/>
        </patternFill>
      </fill>
    </dxf>
    <dxf>
      <font>
        <b val="0"/>
        <i val="0"/>
        <condense val="0"/>
        <extend val="0"/>
        <color indexed="9"/>
      </font>
      <fill>
        <patternFill>
          <bgColor indexed="9"/>
        </patternFill>
      </fill>
    </dxf>
    <dxf>
      <fill>
        <patternFill>
          <bgColor rgb="FF00FF00"/>
        </patternFill>
      </fill>
    </dxf>
    <dxf>
      <font>
        <color rgb="FF006100"/>
      </font>
      <fill>
        <patternFill>
          <bgColor rgb="FF2BED3D"/>
        </patternFill>
      </fill>
    </dxf>
    <dxf>
      <font>
        <color auto="1"/>
      </font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00FF00"/>
        </patternFill>
      </fill>
    </dxf>
    <dxf>
      <font>
        <color auto="1"/>
      </font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b val="0"/>
        <i val="0"/>
        <condense val="0"/>
        <extend val="0"/>
        <color indexed="9"/>
      </font>
      <fill>
        <patternFill>
          <bgColor indexed="9"/>
        </patternFill>
      </fill>
    </dxf>
    <dxf>
      <font>
        <color rgb="FF006100"/>
      </font>
      <fill>
        <patternFill>
          <bgColor rgb="FF2BED3D"/>
        </patternFill>
      </fill>
    </dxf>
    <dxf>
      <font>
        <color auto="1"/>
      </font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b val="0"/>
        <i val="0"/>
        <condense val="0"/>
        <extend val="0"/>
        <color indexed="9"/>
      </font>
      <fill>
        <patternFill>
          <bgColor indexed="9"/>
        </patternFill>
      </fill>
    </dxf>
    <dxf>
      <font>
        <color rgb="FF006100"/>
      </font>
      <fill>
        <patternFill>
          <bgColor rgb="FF2BED3D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indexed="8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indexed="8"/>
      </font>
      <fill>
        <patternFill>
          <bgColor indexed="11"/>
        </patternFill>
      </fill>
    </dxf>
  </dxfs>
  <tableStyles count="0" defaultTableStyle="TableStyleMedium2" defaultPivotStyle="PivotStyleLight16"/>
  <colors>
    <mruColors>
      <color rgb="FF66FF66"/>
      <color rgb="FF66FF33"/>
      <color rgb="FF2BED3D"/>
      <color rgb="FF2DF123"/>
      <color rgb="FF46F329"/>
      <color rgb="FF3FF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0</xdr:row>
      <xdr:rowOff>0</xdr:rowOff>
    </xdr:from>
    <xdr:to>
      <xdr:col>10</xdr:col>
      <xdr:colOff>61673</xdr:colOff>
      <xdr:row>2</xdr:row>
      <xdr:rowOff>151840</xdr:rowOff>
    </xdr:to>
    <xdr:pic>
      <xdr:nvPicPr>
        <xdr:cNvPr id="2" name="1 Imagen" descr="Canon_RBG_LG.jpg">
          <a:extLst>
            <a:ext uri="{FF2B5EF4-FFF2-40B4-BE49-F238E27FC236}">
              <a16:creationId xmlns:a16="http://schemas.microsoft.com/office/drawing/2014/main" id="{858A4B8E-CEE1-4D05-AB5F-0CA8E74FD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88" y="0"/>
          <a:ext cx="1558592" cy="532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E824-D7FB-4011-B215-CDCD74400DA2}">
  <sheetPr codeName="Hoja1"/>
  <dimension ref="A1:BY320"/>
  <sheetViews>
    <sheetView showGridLines="0" tabSelected="1" zoomScale="79" zoomScaleNormal="115" workbookViewId="0">
      <selection activeCell="AM42" sqref="AM42"/>
    </sheetView>
  </sheetViews>
  <sheetFormatPr baseColWidth="10" defaultColWidth="0" defaultRowHeight="15" customHeight="1" zeroHeight="1" x14ac:dyDescent="0.25"/>
  <cols>
    <col min="1" max="1" width="2.7109375" style="3" customWidth="1"/>
    <col min="2" max="7" width="2.28515625" style="3" customWidth="1"/>
    <col min="8" max="8" width="4.42578125" style="3" customWidth="1"/>
    <col min="9" max="14" width="2.28515625" style="3" customWidth="1"/>
    <col min="15" max="15" width="3.7109375" style="3" customWidth="1"/>
    <col min="16" max="19" width="2.28515625" style="3" customWidth="1"/>
    <col min="20" max="20" width="4.7109375" style="3" customWidth="1"/>
    <col min="21" max="26" width="2.28515625" style="3" customWidth="1"/>
    <col min="27" max="27" width="3.28515625" style="3" customWidth="1"/>
    <col min="28" max="29" width="2.28515625" style="3" customWidth="1"/>
    <col min="30" max="30" width="6.28515625" style="3" customWidth="1"/>
    <col min="31" max="31" width="2.28515625" style="3" customWidth="1"/>
    <col min="32" max="32" width="4.28515625" style="3" customWidth="1"/>
    <col min="33" max="40" width="2.28515625" style="3" customWidth="1"/>
    <col min="41" max="41" width="3.42578125" style="3" customWidth="1"/>
    <col min="42" max="43" width="2.28515625" style="3" customWidth="1"/>
    <col min="44" max="44" width="2.5703125" style="3" customWidth="1"/>
    <col min="45" max="47" width="2.28515625" style="3" customWidth="1"/>
    <col min="48" max="48" width="3.7109375" style="3" customWidth="1"/>
    <col min="49" max="52" width="2.28515625" style="3" customWidth="1"/>
    <col min="53" max="53" width="5" style="3" customWidth="1"/>
    <col min="54" max="54" width="1.28515625" style="3" customWidth="1"/>
    <col min="55" max="63" width="2.28515625" style="3" customWidth="1"/>
    <col min="64" max="64" width="2.7109375" style="3" customWidth="1"/>
    <col min="65" max="65" width="5.42578125" style="3" customWidth="1"/>
    <col min="66" max="66" width="4.28515625" style="3" customWidth="1"/>
    <col min="67" max="77" width="0" style="32" hidden="1" customWidth="1"/>
    <col min="78" max="16384" width="11.42578125" style="32" hidden="1"/>
  </cols>
  <sheetData>
    <row r="1" spans="3:65" s="3" customFormat="1" x14ac:dyDescent="0.25">
      <c r="L1" s="163" t="s">
        <v>0</v>
      </c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  <c r="AT1" s="163"/>
      <c r="AU1" s="163"/>
      <c r="AV1" s="163"/>
      <c r="AW1" s="163"/>
      <c r="AX1" s="163"/>
      <c r="AY1" s="163"/>
      <c r="AZ1" s="163"/>
      <c r="BA1" s="163"/>
      <c r="BB1" s="163"/>
      <c r="BC1" s="163"/>
      <c r="BD1" s="163"/>
      <c r="BE1" s="163"/>
      <c r="BF1" s="163"/>
      <c r="BG1" s="163"/>
      <c r="BH1" s="163"/>
      <c r="BI1" s="163"/>
      <c r="BJ1" s="163"/>
      <c r="BK1" s="163"/>
    </row>
    <row r="2" spans="3:65" s="3" customFormat="1" x14ac:dyDescent="0.25"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</row>
    <row r="3" spans="3:65" s="3" customFormat="1" x14ac:dyDescent="0.25"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</row>
    <row r="4" spans="3:65" s="3" customFormat="1" ht="7.15" customHeight="1" x14ac:dyDescent="0.25"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3"/>
    </row>
    <row r="5" spans="3:65" s="3" customFormat="1" ht="7.15" customHeight="1" x14ac:dyDescent="0.25">
      <c r="C5" s="140" t="s">
        <v>1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</row>
    <row r="6" spans="3:65" s="3" customFormat="1" ht="12.75" customHeight="1" x14ac:dyDescent="0.25"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</row>
    <row r="7" spans="3:65" s="3" customFormat="1" ht="3" customHeight="1" x14ac:dyDescent="0.25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164"/>
      <c r="BA7" s="164"/>
      <c r="BB7" s="164"/>
      <c r="BC7" s="164"/>
      <c r="BD7" s="164"/>
      <c r="BE7" s="164"/>
      <c r="BF7" s="164"/>
      <c r="BG7" s="164"/>
      <c r="BH7" s="164"/>
      <c r="BI7" s="164"/>
      <c r="BJ7" s="164"/>
      <c r="BK7" s="164"/>
      <c r="BL7" s="164"/>
      <c r="BM7" s="164"/>
    </row>
    <row r="8" spans="3:65" s="3" customFormat="1" ht="3" customHeight="1" x14ac:dyDescent="0.25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</row>
    <row r="9" spans="3:65" s="3" customFormat="1" ht="7.15" customHeight="1" x14ac:dyDescent="0.25"/>
    <row r="10" spans="3:65" s="3" customFormat="1" ht="7.15" customHeight="1" x14ac:dyDescent="0.25">
      <c r="AP10" s="106" t="s">
        <v>2</v>
      </c>
      <c r="AQ10" s="106"/>
      <c r="AR10" s="106"/>
      <c r="AS10" s="106"/>
      <c r="AT10" s="106"/>
      <c r="AU10" s="165">
        <f ca="1">TODAY()</f>
        <v>45537</v>
      </c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165"/>
      <c r="BM10" s="165"/>
    </row>
    <row r="11" spans="3:65" s="3" customFormat="1" ht="7.15" customHeight="1" x14ac:dyDescent="0.25">
      <c r="AP11" s="106"/>
      <c r="AQ11" s="106"/>
      <c r="AR11" s="106"/>
      <c r="AS11" s="106"/>
      <c r="AT11" s="106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65"/>
      <c r="BJ11" s="165"/>
      <c r="BK11" s="165"/>
      <c r="BL11" s="165"/>
      <c r="BM11" s="165"/>
    </row>
    <row r="12" spans="3:65" s="3" customFormat="1" ht="7.15" customHeight="1" x14ac:dyDescent="0.25">
      <c r="AP12" s="146"/>
      <c r="AQ12" s="146"/>
      <c r="AR12" s="146"/>
      <c r="AS12" s="146"/>
      <c r="AT12" s="14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166"/>
      <c r="BJ12" s="166"/>
      <c r="BK12" s="166"/>
      <c r="BL12" s="166"/>
      <c r="BM12" s="166"/>
    </row>
    <row r="13" spans="3:65" s="3" customFormat="1" ht="7.15" customHeight="1" x14ac:dyDescent="0.25">
      <c r="AP13" s="57"/>
      <c r="AQ13" s="57"/>
      <c r="AR13" s="57"/>
      <c r="AS13" s="57"/>
      <c r="AT13" s="57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</row>
    <row r="14" spans="3:65" s="3" customFormat="1" ht="7.15" customHeight="1" x14ac:dyDescent="0.25">
      <c r="C14" s="57"/>
      <c r="D14" s="57"/>
      <c r="E14" s="57"/>
      <c r="F14" s="57"/>
      <c r="G14" s="57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3:65" s="3" customFormat="1" ht="7.15" customHeight="1" x14ac:dyDescent="0.25">
      <c r="C15" s="57"/>
      <c r="D15" s="57"/>
      <c r="E15" s="57"/>
      <c r="F15" s="57"/>
      <c r="G15" s="57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3:65" s="3" customFormat="1" ht="7.15" customHeight="1" x14ac:dyDescent="0.25">
      <c r="C16" s="11"/>
      <c r="D16" s="11"/>
      <c r="E16" s="11"/>
      <c r="F16" s="11"/>
      <c r="G16" s="11"/>
      <c r="H16" s="11"/>
      <c r="I16" s="11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</row>
    <row r="17" spans="3:67" s="3" customFormat="1" ht="6.75" customHeight="1" x14ac:dyDescent="0.25">
      <c r="C17" s="126" t="s">
        <v>3</v>
      </c>
      <c r="D17" s="126"/>
      <c r="E17" s="126"/>
      <c r="F17" s="126"/>
      <c r="G17" s="126"/>
      <c r="H17" s="126"/>
      <c r="I17" s="126"/>
      <c r="J17" s="126"/>
      <c r="K17" s="126"/>
      <c r="L17" s="126"/>
      <c r="M17" s="5"/>
      <c r="N17" s="5"/>
      <c r="O17" s="167"/>
      <c r="P17" s="167"/>
      <c r="Q17" s="167"/>
      <c r="R17" s="167"/>
      <c r="S17" s="167"/>
      <c r="T17" s="167"/>
      <c r="U17" s="167"/>
      <c r="W17" s="106" t="s">
        <v>4</v>
      </c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O17" s="153"/>
    </row>
    <row r="18" spans="3:67" s="3" customFormat="1" ht="7.15" customHeight="1" x14ac:dyDescent="0.25"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5"/>
      <c r="N18" s="5"/>
      <c r="O18" s="167"/>
      <c r="P18" s="167"/>
      <c r="Q18" s="167"/>
      <c r="R18" s="167"/>
      <c r="S18" s="167"/>
      <c r="T18" s="167"/>
      <c r="U18" s="167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69"/>
      <c r="BM18" s="169"/>
      <c r="BO18" s="153"/>
    </row>
    <row r="19" spans="3:67" s="3" customFormat="1" ht="7.15" customHeight="1" x14ac:dyDescent="0.25"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5"/>
      <c r="N19" s="5"/>
      <c r="O19" s="168"/>
      <c r="P19" s="168"/>
      <c r="Q19" s="168"/>
      <c r="R19" s="168"/>
      <c r="S19" s="168"/>
      <c r="T19" s="168"/>
      <c r="U19" s="168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O19" s="153"/>
    </row>
    <row r="20" spans="3:67" s="3" customFormat="1" ht="6.75" customHeight="1" x14ac:dyDescent="0.25"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5"/>
      <c r="N20" s="5"/>
      <c r="O20" s="58"/>
      <c r="P20" s="58"/>
      <c r="Q20" s="58"/>
      <c r="R20" s="58"/>
      <c r="S20" s="58"/>
      <c r="T20" s="58"/>
      <c r="U20" s="58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</row>
    <row r="21" spans="3:67" s="3" customFormat="1" ht="6.75" customHeight="1" x14ac:dyDescent="0.25"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5"/>
      <c r="N21" s="5"/>
      <c r="O21" s="58"/>
      <c r="P21" s="58"/>
      <c r="Q21" s="58"/>
      <c r="R21" s="58"/>
      <c r="S21" s="58"/>
      <c r="T21" s="58"/>
      <c r="U21" s="58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</row>
    <row r="22" spans="3:67" s="3" customFormat="1" ht="6.75" customHeight="1" x14ac:dyDescent="0.25">
      <c r="C22" s="11"/>
      <c r="D22" s="11"/>
      <c r="E22" s="11"/>
      <c r="F22" s="11"/>
      <c r="G22" s="11"/>
      <c r="H22" s="11"/>
      <c r="I22" s="11"/>
      <c r="J22" s="53"/>
      <c r="K22" s="53"/>
      <c r="L22" s="53"/>
      <c r="M22" s="53"/>
      <c r="N22" s="5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BF22" s="5"/>
    </row>
    <row r="23" spans="3:67" s="3" customFormat="1" ht="17.25" customHeight="1" x14ac:dyDescent="0.25">
      <c r="C23" s="126" t="s">
        <v>5</v>
      </c>
      <c r="D23" s="126"/>
      <c r="E23" s="126"/>
      <c r="F23" s="126"/>
      <c r="G23" s="126"/>
      <c r="H23" s="126"/>
      <c r="I23" s="126"/>
      <c r="J23" s="126"/>
      <c r="K23" s="126"/>
      <c r="L23" s="126"/>
      <c r="M23" s="53"/>
      <c r="N23" s="53"/>
      <c r="O23" s="79" t="s">
        <v>220</v>
      </c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W23" s="77" t="s">
        <v>7</v>
      </c>
      <c r="AX23" s="77"/>
      <c r="AY23" s="77"/>
      <c r="AZ23" s="77"/>
      <c r="BA23" s="77"/>
      <c r="BC23" s="161" t="str">
        <f>IFERROR(VLOOKUP(O23,Hoja2!E2:F22,2,0),0)</f>
        <v>E</v>
      </c>
      <c r="BD23" s="161"/>
      <c r="BE23" s="161"/>
      <c r="BF23" s="161"/>
      <c r="BG23" s="161"/>
      <c r="BH23" s="161"/>
      <c r="BI23" s="161"/>
      <c r="BJ23" s="161"/>
      <c r="BK23" s="161"/>
      <c r="BL23" s="161"/>
      <c r="BM23" s="161"/>
    </row>
    <row r="24" spans="3:67" s="3" customFormat="1" ht="6.75" customHeight="1" x14ac:dyDescent="0.25"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53"/>
      <c r="N24" s="53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W24" s="78"/>
      <c r="AX24" s="78"/>
      <c r="AY24" s="78"/>
      <c r="AZ24" s="78"/>
      <c r="BA24" s="78"/>
      <c r="BC24" s="162"/>
      <c r="BD24" s="162"/>
      <c r="BE24" s="162"/>
      <c r="BF24" s="162"/>
      <c r="BG24" s="162"/>
      <c r="BH24" s="162"/>
      <c r="BI24" s="162"/>
      <c r="BJ24" s="162"/>
      <c r="BK24" s="162"/>
      <c r="BL24" s="162"/>
      <c r="BM24" s="162"/>
    </row>
    <row r="25" spans="3:67" s="3" customFormat="1" ht="6.75" customHeight="1" x14ac:dyDescent="0.25"/>
    <row r="26" spans="3:67" s="3" customFormat="1" ht="6.75" customHeight="1" x14ac:dyDescent="0.25">
      <c r="C26" s="11"/>
      <c r="D26" s="11"/>
      <c r="E26" s="11"/>
      <c r="F26" s="11"/>
      <c r="G26" s="11"/>
      <c r="H26" s="11"/>
      <c r="I26" s="11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</row>
    <row r="27" spans="3:67" s="3" customFormat="1" ht="15" customHeight="1" x14ac:dyDescent="0.25">
      <c r="C27" s="106" t="s">
        <v>8</v>
      </c>
      <c r="D27" s="106"/>
      <c r="E27" s="106"/>
      <c r="F27" s="106"/>
      <c r="G27" s="106"/>
      <c r="H27" s="106"/>
      <c r="I27" s="106"/>
      <c r="J27" s="106"/>
      <c r="K27" s="106"/>
      <c r="L27" s="106"/>
      <c r="M27" s="6"/>
      <c r="N27" s="6"/>
      <c r="O27" s="79" t="s">
        <v>256</v>
      </c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W27" s="77" t="s">
        <v>9</v>
      </c>
      <c r="AX27" s="77"/>
      <c r="AY27" s="77"/>
      <c r="AZ27" s="77"/>
      <c r="BA27" s="77"/>
      <c r="BC27" s="79" t="s">
        <v>265</v>
      </c>
      <c r="BD27" s="79"/>
      <c r="BE27" s="79"/>
      <c r="BF27" s="79"/>
      <c r="BG27" s="79"/>
      <c r="BH27" s="79"/>
      <c r="BI27" s="79"/>
      <c r="BJ27" s="79"/>
      <c r="BK27" s="79"/>
      <c r="BL27" s="79"/>
      <c r="BM27" s="79"/>
    </row>
    <row r="28" spans="3:67" s="3" customFormat="1" ht="6.75" customHeight="1" x14ac:dyDescent="0.25"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6"/>
      <c r="N28" s="6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5"/>
      <c r="AW28" s="78"/>
      <c r="AX28" s="78"/>
      <c r="AY28" s="78"/>
      <c r="AZ28" s="78"/>
      <c r="BA28" s="78"/>
      <c r="BB28" s="55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</row>
    <row r="29" spans="3:67" s="3" customFormat="1" ht="6.75" customHeight="1" x14ac:dyDescent="0.25">
      <c r="V29" s="6"/>
      <c r="X29" s="79"/>
      <c r="Y29" s="79"/>
      <c r="Z29" s="79"/>
      <c r="AA29" s="79"/>
      <c r="AB29" s="79"/>
      <c r="AC29" s="79"/>
      <c r="AD29" s="79"/>
      <c r="AE29" s="79"/>
      <c r="BC29" s="5"/>
      <c r="BF29" s="5"/>
    </row>
    <row r="30" spans="3:67" s="3" customFormat="1" ht="6.75" customHeight="1" x14ac:dyDescent="0.25">
      <c r="V30" s="6"/>
      <c r="X30" s="79"/>
      <c r="Y30" s="79"/>
      <c r="Z30" s="79"/>
      <c r="AA30" s="79"/>
      <c r="AB30" s="79"/>
      <c r="AC30" s="79"/>
      <c r="AD30" s="79"/>
      <c r="AE30" s="79"/>
      <c r="BC30" s="5"/>
      <c r="BF30" s="5"/>
    </row>
    <row r="31" spans="3:67" s="3" customFormat="1" ht="6.75" customHeight="1" x14ac:dyDescent="0.25">
      <c r="V31" s="6"/>
      <c r="BC31" s="5"/>
      <c r="BF31" s="5"/>
    </row>
    <row r="32" spans="3:67" s="3" customFormat="1" ht="21.75" customHeight="1" x14ac:dyDescent="0.25">
      <c r="C32" s="149" t="s">
        <v>11</v>
      </c>
      <c r="D32" s="149"/>
      <c r="E32" s="149"/>
      <c r="F32" s="149"/>
      <c r="G32" s="149"/>
      <c r="H32" s="149"/>
      <c r="I32" s="149"/>
      <c r="J32" s="149"/>
      <c r="K32" s="149"/>
      <c r="L32" s="149"/>
      <c r="O32" s="151">
        <f>VLOOKUP(O27,Hoja2!H2:I46,2,0)</f>
        <v>460410</v>
      </c>
      <c r="P32" s="151"/>
      <c r="Q32" s="151"/>
      <c r="R32" s="151"/>
      <c r="S32" s="151"/>
      <c r="T32" s="151"/>
      <c r="U32" s="151"/>
      <c r="X32" s="149" t="s">
        <v>12</v>
      </c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8"/>
      <c r="AJ32" s="151" t="str">
        <f>VLOOKUP(O27,Hoja2!H2:J46,3,0)</f>
        <v>AV670</v>
      </c>
      <c r="AK32" s="151"/>
      <c r="AL32" s="151"/>
      <c r="AM32" s="151"/>
      <c r="AN32" s="151"/>
      <c r="AO32" s="151"/>
      <c r="AP32" s="151"/>
      <c r="AQ32" s="151"/>
      <c r="AT32" s="8"/>
      <c r="AW32" s="83" t="s">
        <v>13</v>
      </c>
      <c r="AX32" s="83"/>
      <c r="AY32" s="83"/>
      <c r="AZ32" s="83"/>
      <c r="BA32" s="83"/>
      <c r="BB32" s="51"/>
      <c r="BC32" s="159" t="s">
        <v>14</v>
      </c>
      <c r="BD32" s="159"/>
      <c r="BE32" s="159"/>
      <c r="BF32" s="159"/>
      <c r="BG32" s="159"/>
      <c r="BH32" s="159"/>
      <c r="BI32" s="159"/>
      <c r="BJ32" s="159"/>
      <c r="BK32" s="159"/>
      <c r="BL32" s="159"/>
      <c r="BM32" s="159"/>
    </row>
    <row r="33" spans="3:77" s="3" customFormat="1" ht="7.15" customHeight="1" x14ac:dyDescent="0.25"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O33" s="152"/>
      <c r="P33" s="152"/>
      <c r="Q33" s="152"/>
      <c r="R33" s="152"/>
      <c r="S33" s="152"/>
      <c r="T33" s="152"/>
      <c r="U33" s="152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8"/>
      <c r="AJ33" s="152"/>
      <c r="AK33" s="152"/>
      <c r="AL33" s="152"/>
      <c r="AM33" s="152"/>
      <c r="AN33" s="152"/>
      <c r="AO33" s="152"/>
      <c r="AP33" s="152"/>
      <c r="AQ33" s="152"/>
      <c r="AT33" s="8"/>
      <c r="AW33" s="84"/>
      <c r="AX33" s="84"/>
      <c r="AY33" s="84"/>
      <c r="AZ33" s="84"/>
      <c r="BA33" s="84"/>
      <c r="BB33" s="51"/>
      <c r="BC33" s="160"/>
      <c r="BD33" s="160"/>
      <c r="BE33" s="160"/>
      <c r="BF33" s="160"/>
      <c r="BG33" s="160"/>
      <c r="BH33" s="160"/>
      <c r="BI33" s="160"/>
      <c r="BJ33" s="160"/>
      <c r="BK33" s="160"/>
      <c r="BL33" s="160"/>
      <c r="BM33" s="160"/>
      <c r="BV33" s="9"/>
      <c r="BW33" s="9"/>
      <c r="BX33" s="9"/>
      <c r="BY33" s="9"/>
    </row>
    <row r="34" spans="3:77" s="3" customFormat="1" ht="6.75" customHeight="1" x14ac:dyDescent="0.25">
      <c r="C34" s="11"/>
      <c r="D34" s="11"/>
      <c r="E34" s="11"/>
      <c r="F34" s="11"/>
      <c r="G34" s="11"/>
      <c r="H34" s="11"/>
      <c r="I34" s="11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BF34" s="5"/>
    </row>
    <row r="35" spans="3:77" s="3" customFormat="1" ht="7.15" customHeight="1" x14ac:dyDescent="0.25"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53"/>
      <c r="N35" s="53"/>
      <c r="O35" s="11"/>
      <c r="P35" s="11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</row>
    <row r="36" spans="3:77" s="3" customFormat="1" ht="7.15" customHeight="1" x14ac:dyDescent="0.25"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3"/>
      <c r="N36" s="53"/>
      <c r="O36" s="11"/>
      <c r="P36" s="11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</row>
    <row r="37" spans="3:77" s="3" customFormat="1" ht="7.15" customHeight="1" x14ac:dyDescent="0.25">
      <c r="C37" s="138" t="s">
        <v>15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1"/>
      <c r="N37" s="11"/>
      <c r="O37" s="11"/>
      <c r="P37" s="11"/>
      <c r="Q37" s="54"/>
      <c r="R37" s="54"/>
      <c r="S37" s="54"/>
      <c r="T37" s="54"/>
      <c r="U37" s="54"/>
      <c r="V37" s="6"/>
      <c r="AT37" s="122" t="s">
        <v>16</v>
      </c>
      <c r="AU37" s="122"/>
      <c r="AV37" s="122"/>
      <c r="AW37" s="122"/>
      <c r="AX37" s="122"/>
      <c r="AY37" s="122"/>
      <c r="AZ37" s="122"/>
      <c r="BA37" s="122"/>
      <c r="BC37" s="153" t="s">
        <v>17</v>
      </c>
      <c r="BD37" s="153"/>
      <c r="BE37" s="153"/>
      <c r="BF37" s="153" t="s">
        <v>18</v>
      </c>
      <c r="BG37" s="153"/>
      <c r="BH37" s="153"/>
      <c r="BI37" s="153"/>
      <c r="BJ37" s="153"/>
      <c r="BK37" s="153"/>
      <c r="BL37" s="153" t="s">
        <v>19</v>
      </c>
      <c r="BM37" s="153"/>
    </row>
    <row r="38" spans="3:77" s="3" customFormat="1" ht="20.25" customHeight="1" x14ac:dyDescent="0.25"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1"/>
      <c r="N38" s="11"/>
      <c r="O38" s="120"/>
      <c r="P38" s="120"/>
      <c r="Q38" s="120"/>
      <c r="R38" s="120"/>
      <c r="S38" s="120"/>
      <c r="T38" s="120"/>
      <c r="U38" s="120"/>
      <c r="X38" s="149" t="s">
        <v>20</v>
      </c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8"/>
      <c r="AJ38" s="79" t="s">
        <v>228</v>
      </c>
      <c r="AK38" s="79"/>
      <c r="AL38" s="79"/>
      <c r="AM38" s="79"/>
      <c r="AN38" s="79"/>
      <c r="AO38" s="79"/>
      <c r="AP38" s="79"/>
      <c r="AQ38" s="79"/>
      <c r="AT38" s="122"/>
      <c r="AU38" s="122"/>
      <c r="AV38" s="122"/>
      <c r="AW38" s="122"/>
      <c r="AX38" s="122"/>
      <c r="AY38" s="122"/>
      <c r="AZ38" s="122"/>
      <c r="BA38" s="122"/>
      <c r="BC38" s="153"/>
      <c r="BD38" s="153"/>
      <c r="BE38" s="153"/>
      <c r="BF38" s="153"/>
      <c r="BG38" s="153"/>
      <c r="BH38" s="153"/>
      <c r="BI38" s="153"/>
      <c r="BJ38" s="153"/>
      <c r="BK38" s="153"/>
      <c r="BL38" s="153"/>
      <c r="BM38" s="153"/>
    </row>
    <row r="39" spans="3:77" s="3" customFormat="1" ht="19.5" customHeight="1" x14ac:dyDescent="0.25"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1"/>
      <c r="N39" s="11"/>
      <c r="O39" s="121"/>
      <c r="P39" s="121"/>
      <c r="Q39" s="121"/>
      <c r="R39" s="121"/>
      <c r="S39" s="121"/>
      <c r="T39" s="121"/>
      <c r="U39" s="121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8"/>
      <c r="AJ39" s="80"/>
      <c r="AK39" s="80"/>
      <c r="AL39" s="80"/>
      <c r="AM39" s="80"/>
      <c r="AN39" s="80"/>
      <c r="AO39" s="80"/>
      <c r="AP39" s="80"/>
      <c r="AQ39" s="80"/>
      <c r="AT39" s="123"/>
      <c r="AU39" s="123"/>
      <c r="AV39" s="123"/>
      <c r="AW39" s="123"/>
      <c r="AX39" s="123"/>
      <c r="AY39" s="123"/>
      <c r="AZ39" s="123"/>
      <c r="BA39" s="123"/>
      <c r="BC39" s="158" t="s">
        <v>22</v>
      </c>
      <c r="BD39" s="158"/>
      <c r="BE39" s="158"/>
      <c r="BF39" s="158" t="s">
        <v>22</v>
      </c>
      <c r="BG39" s="158"/>
      <c r="BH39" s="158"/>
      <c r="BI39" s="158"/>
      <c r="BJ39" s="158"/>
      <c r="BK39" s="158"/>
      <c r="BL39" s="158" t="s">
        <v>22</v>
      </c>
      <c r="BM39" s="158"/>
    </row>
    <row r="40" spans="3:77" s="3" customFormat="1" ht="7.15" customHeight="1" x14ac:dyDescent="0.25"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</row>
    <row r="41" spans="3:77" s="3" customFormat="1" ht="7.15" customHeight="1" x14ac:dyDescent="0.25"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</row>
    <row r="42" spans="3:77" s="3" customFormat="1" ht="7.15" customHeight="1" x14ac:dyDescent="0.25"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</row>
    <row r="43" spans="3:77" s="3" customFormat="1" ht="3.75" customHeight="1" x14ac:dyDescent="0.25">
      <c r="C43" s="10"/>
      <c r="D43" s="10"/>
      <c r="E43" s="10"/>
      <c r="P43" s="11"/>
      <c r="AK43" s="5"/>
      <c r="AZ43" s="12"/>
      <c r="BC43" s="153" t="s">
        <v>17</v>
      </c>
      <c r="BD43" s="153"/>
      <c r="BE43" s="153"/>
      <c r="BF43" s="153" t="s">
        <v>18</v>
      </c>
      <c r="BG43" s="153"/>
      <c r="BH43" s="153"/>
      <c r="BI43" s="153"/>
      <c r="BJ43" s="153"/>
      <c r="BK43" s="153"/>
      <c r="BL43" s="153" t="s">
        <v>19</v>
      </c>
      <c r="BM43" s="153"/>
    </row>
    <row r="44" spans="3:77" s="3" customFormat="1" ht="13.5" customHeight="1" x14ac:dyDescent="0.25">
      <c r="C44" s="126" t="s">
        <v>23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1"/>
      <c r="Q44" s="79" t="s">
        <v>21</v>
      </c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13"/>
      <c r="AL44" s="14"/>
      <c r="AM44" s="14"/>
      <c r="AN44" s="14"/>
      <c r="AO44" s="14"/>
      <c r="AP44" s="14"/>
      <c r="AQ44" s="14"/>
      <c r="AR44" s="14"/>
      <c r="AS44" s="147" t="s">
        <v>24</v>
      </c>
      <c r="AT44" s="147"/>
      <c r="AU44" s="147"/>
      <c r="AV44" s="147"/>
      <c r="AW44" s="147"/>
      <c r="AX44" s="147"/>
      <c r="AY44" s="147"/>
      <c r="AZ44" s="147"/>
      <c r="BA44" s="147"/>
      <c r="BC44" s="153"/>
      <c r="BD44" s="153"/>
      <c r="BE44" s="153"/>
      <c r="BF44" s="153"/>
      <c r="BG44" s="153"/>
      <c r="BH44" s="153"/>
      <c r="BI44" s="153"/>
      <c r="BJ44" s="153"/>
      <c r="BK44" s="153"/>
      <c r="BL44" s="153"/>
      <c r="BM44" s="153"/>
    </row>
    <row r="45" spans="3:77" s="3" customFormat="1" ht="12" customHeight="1" x14ac:dyDescent="0.25"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1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13"/>
      <c r="AL45" s="14"/>
      <c r="AM45" s="14"/>
      <c r="AN45" s="14"/>
      <c r="AO45" s="14"/>
      <c r="AP45" s="14"/>
      <c r="AQ45" s="14"/>
      <c r="AR45" s="14"/>
      <c r="AS45" s="147"/>
      <c r="AT45" s="147"/>
      <c r="AU45" s="147"/>
      <c r="AV45" s="147"/>
      <c r="AW45" s="147"/>
      <c r="AX45" s="147"/>
      <c r="AY45" s="147"/>
      <c r="AZ45" s="147"/>
      <c r="BA45" s="147"/>
      <c r="BC45" s="153" t="s">
        <v>22</v>
      </c>
      <c r="BD45" s="153"/>
      <c r="BE45" s="153"/>
      <c r="BF45" s="153" t="s">
        <v>22</v>
      </c>
      <c r="BG45" s="153"/>
      <c r="BH45" s="153"/>
      <c r="BI45" s="153"/>
      <c r="BJ45" s="153"/>
      <c r="BK45" s="153"/>
      <c r="BL45" s="153" t="s">
        <v>22</v>
      </c>
      <c r="BM45" s="153"/>
    </row>
    <row r="46" spans="3:77" s="3" customFormat="1" ht="12" customHeight="1" thickBot="1" x14ac:dyDescent="0.3"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1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3"/>
      <c r="AL46" s="14"/>
      <c r="AM46" s="14"/>
      <c r="AN46" s="14"/>
      <c r="AO46" s="14"/>
      <c r="AP46" s="14"/>
      <c r="AQ46" s="14"/>
      <c r="AR46" s="14"/>
      <c r="AS46" s="156"/>
      <c r="AT46" s="156"/>
      <c r="AU46" s="156"/>
      <c r="AV46" s="156"/>
      <c r="AW46" s="156"/>
      <c r="AX46" s="156"/>
      <c r="AY46" s="156"/>
      <c r="AZ46" s="156"/>
      <c r="BA46" s="156"/>
      <c r="BC46" s="157"/>
      <c r="BD46" s="157"/>
      <c r="BE46" s="157"/>
      <c r="BF46" s="157"/>
      <c r="BG46" s="157"/>
      <c r="BH46" s="157"/>
      <c r="BI46" s="157"/>
      <c r="BJ46" s="157"/>
      <c r="BK46" s="157"/>
      <c r="BL46" s="157"/>
      <c r="BM46" s="157"/>
    </row>
    <row r="47" spans="3:77" s="3" customFormat="1" ht="7.15" customHeight="1" x14ac:dyDescent="0.25">
      <c r="C47" s="52"/>
      <c r="D47" s="52"/>
      <c r="E47" s="52"/>
      <c r="F47" s="52"/>
      <c r="G47" s="61"/>
      <c r="H47" s="61"/>
      <c r="I47" s="61"/>
      <c r="J47" s="52"/>
      <c r="K47" s="7"/>
      <c r="L47" s="7"/>
      <c r="M47" s="7"/>
      <c r="N47" s="7"/>
      <c r="O47" s="7"/>
      <c r="P47" s="11"/>
      <c r="Q47" s="7"/>
      <c r="R47" s="7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4"/>
      <c r="AM47" s="14"/>
      <c r="AN47" s="14"/>
      <c r="AO47" s="14"/>
      <c r="AP47" s="14"/>
      <c r="AQ47" s="14"/>
      <c r="AR47" s="14"/>
      <c r="AS47" s="15"/>
      <c r="AT47" s="15"/>
      <c r="AU47" s="15"/>
      <c r="AV47" s="15"/>
      <c r="AW47" s="15"/>
      <c r="AX47" s="15"/>
      <c r="AZ47" s="12"/>
    </row>
    <row r="48" spans="3:77" s="3" customFormat="1" ht="7.15" customHeight="1" x14ac:dyDescent="0.25">
      <c r="C48" s="52"/>
      <c r="D48" s="52"/>
      <c r="E48" s="52"/>
      <c r="F48" s="52"/>
      <c r="G48" s="52"/>
      <c r="H48" s="52"/>
      <c r="I48" s="52"/>
      <c r="J48" s="52"/>
      <c r="K48" s="7"/>
      <c r="L48" s="7"/>
      <c r="M48" s="7"/>
      <c r="N48" s="7"/>
      <c r="O48" s="7"/>
      <c r="P48" s="11"/>
      <c r="Q48" s="7"/>
      <c r="R48" s="7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Z48" s="12"/>
    </row>
    <row r="49" spans="3:65" s="3" customFormat="1" ht="7.15" customHeight="1" x14ac:dyDescent="0.2">
      <c r="C49" s="52"/>
      <c r="D49" s="52"/>
      <c r="E49" s="52"/>
      <c r="F49" s="52"/>
      <c r="G49" s="52"/>
      <c r="H49" s="52"/>
      <c r="I49" s="52"/>
      <c r="J49" s="52"/>
      <c r="K49" s="7"/>
      <c r="L49" s="7"/>
      <c r="M49" s="7"/>
      <c r="N49" s="7"/>
      <c r="O49" s="7"/>
      <c r="P49" s="11"/>
      <c r="Q49" s="7"/>
      <c r="R49" s="7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Z49" s="12"/>
      <c r="BL49" s="62"/>
    </row>
    <row r="50" spans="3:65" s="3" customFormat="1" ht="7.15" customHeight="1" x14ac:dyDescent="0.25">
      <c r="C50" s="52"/>
      <c r="D50" s="52"/>
      <c r="E50" s="52"/>
      <c r="F50" s="52"/>
      <c r="G50" s="52"/>
      <c r="H50" s="52"/>
      <c r="I50" s="52"/>
      <c r="J50" s="52"/>
      <c r="K50" s="7"/>
      <c r="L50" s="7"/>
      <c r="M50" s="7"/>
      <c r="N50" s="7"/>
      <c r="O50" s="7"/>
      <c r="P50" s="7"/>
      <c r="Q50" s="7"/>
      <c r="R50" s="7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</row>
    <row r="51" spans="3:65" s="3" customFormat="1" ht="6.75" customHeight="1" x14ac:dyDescent="0.25">
      <c r="C51" s="126" t="s">
        <v>25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  <c r="BC51" s="126"/>
      <c r="BD51" s="126"/>
      <c r="BE51" s="126"/>
      <c r="BF51" s="126"/>
      <c r="BG51" s="126"/>
      <c r="BH51" s="126"/>
      <c r="BI51" s="126"/>
      <c r="BJ51" s="126"/>
      <c r="BK51" s="126"/>
      <c r="BL51" s="126"/>
      <c r="BM51" s="126"/>
    </row>
    <row r="52" spans="3:65" s="3" customFormat="1" ht="7.15" customHeight="1" x14ac:dyDescent="0.25"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</row>
    <row r="53" spans="3:65" s="3" customFormat="1" ht="7.15" customHeight="1" x14ac:dyDescent="0.25">
      <c r="C53" s="128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30"/>
    </row>
    <row r="54" spans="3:65" s="3" customFormat="1" ht="7.15" customHeight="1" x14ac:dyDescent="0.25">
      <c r="C54" s="131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132"/>
      <c r="BC54" s="132"/>
      <c r="BD54" s="132"/>
      <c r="BE54" s="132"/>
      <c r="BF54" s="132"/>
      <c r="BG54" s="132"/>
      <c r="BH54" s="132"/>
      <c r="BI54" s="132"/>
      <c r="BJ54" s="132"/>
      <c r="BK54" s="132"/>
      <c r="BL54" s="132"/>
      <c r="BM54" s="133"/>
    </row>
    <row r="55" spans="3:65" s="3" customFormat="1" ht="7.15" customHeight="1" x14ac:dyDescent="0.25">
      <c r="C55" s="131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32"/>
      <c r="BG55" s="132"/>
      <c r="BH55" s="132"/>
      <c r="BI55" s="132"/>
      <c r="BJ55" s="132"/>
      <c r="BK55" s="132"/>
      <c r="BL55" s="132"/>
      <c r="BM55" s="133"/>
    </row>
    <row r="56" spans="3:65" s="3" customFormat="1" ht="7.15" customHeight="1" x14ac:dyDescent="0.25">
      <c r="C56" s="131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2"/>
      <c r="BM56" s="133"/>
    </row>
    <row r="57" spans="3:65" s="3" customFormat="1" ht="7.15" customHeight="1" x14ac:dyDescent="0.25">
      <c r="C57" s="131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32"/>
      <c r="BG57" s="132"/>
      <c r="BH57" s="132"/>
      <c r="BI57" s="132"/>
      <c r="BJ57" s="132"/>
      <c r="BK57" s="132"/>
      <c r="BL57" s="132"/>
      <c r="BM57" s="133"/>
    </row>
    <row r="58" spans="3:65" s="3" customFormat="1" ht="7.15" customHeight="1" x14ac:dyDescent="0.25">
      <c r="C58" s="131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32"/>
      <c r="BG58" s="132"/>
      <c r="BH58" s="132"/>
      <c r="BI58" s="132"/>
      <c r="BJ58" s="132"/>
      <c r="BK58" s="132"/>
      <c r="BL58" s="132"/>
      <c r="BM58" s="133"/>
    </row>
    <row r="59" spans="3:65" s="3" customFormat="1" ht="7.15" customHeight="1" x14ac:dyDescent="0.25">
      <c r="C59" s="131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132"/>
      <c r="BC59" s="132"/>
      <c r="BD59" s="132"/>
      <c r="BE59" s="132"/>
      <c r="BF59" s="132"/>
      <c r="BG59" s="132"/>
      <c r="BH59" s="132"/>
      <c r="BI59" s="132"/>
      <c r="BJ59" s="132"/>
      <c r="BK59" s="132"/>
      <c r="BL59" s="132"/>
      <c r="BM59" s="133"/>
    </row>
    <row r="60" spans="3:65" s="3" customFormat="1" ht="7.15" customHeight="1" x14ac:dyDescent="0.25">
      <c r="C60" s="131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/>
      <c r="BB60" s="132"/>
      <c r="BC60" s="132"/>
      <c r="BD60" s="132"/>
      <c r="BE60" s="132"/>
      <c r="BF60" s="132"/>
      <c r="BG60" s="132"/>
      <c r="BH60" s="132"/>
      <c r="BI60" s="132"/>
      <c r="BJ60" s="132"/>
      <c r="BK60" s="132"/>
      <c r="BL60" s="132"/>
      <c r="BM60" s="133"/>
    </row>
    <row r="61" spans="3:65" s="3" customFormat="1" ht="7.15" customHeight="1" x14ac:dyDescent="0.25">
      <c r="C61" s="131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/>
      <c r="BB61" s="132"/>
      <c r="BC61" s="132"/>
      <c r="BD61" s="132"/>
      <c r="BE61" s="132"/>
      <c r="BF61" s="132"/>
      <c r="BG61" s="132"/>
      <c r="BH61" s="132"/>
      <c r="BI61" s="132"/>
      <c r="BJ61" s="132"/>
      <c r="BK61" s="132"/>
      <c r="BL61" s="132"/>
      <c r="BM61" s="133"/>
    </row>
    <row r="62" spans="3:65" s="3" customFormat="1" ht="7.15" customHeight="1" x14ac:dyDescent="0.25">
      <c r="C62" s="131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  <c r="AT62" s="132"/>
      <c r="AU62" s="132"/>
      <c r="AV62" s="132"/>
      <c r="AW62" s="132"/>
      <c r="AX62" s="132"/>
      <c r="AY62" s="132"/>
      <c r="AZ62" s="132"/>
      <c r="BA62" s="132"/>
      <c r="BB62" s="132"/>
      <c r="BC62" s="132"/>
      <c r="BD62" s="132"/>
      <c r="BE62" s="132"/>
      <c r="BF62" s="132"/>
      <c r="BG62" s="132"/>
      <c r="BH62" s="132"/>
      <c r="BI62" s="132"/>
      <c r="BJ62" s="132"/>
      <c r="BK62" s="132"/>
      <c r="BL62" s="132"/>
      <c r="BM62" s="133"/>
    </row>
    <row r="63" spans="3:65" s="3" customFormat="1" ht="7.15" customHeight="1" x14ac:dyDescent="0.25">
      <c r="C63" s="131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2"/>
      <c r="AW63" s="132"/>
      <c r="AX63" s="132"/>
      <c r="AY63" s="132"/>
      <c r="AZ63" s="132"/>
      <c r="BA63" s="132"/>
      <c r="BB63" s="132"/>
      <c r="BC63" s="132"/>
      <c r="BD63" s="132"/>
      <c r="BE63" s="132"/>
      <c r="BF63" s="132"/>
      <c r="BG63" s="132"/>
      <c r="BH63" s="132"/>
      <c r="BI63" s="132"/>
      <c r="BJ63" s="132"/>
      <c r="BK63" s="132"/>
      <c r="BL63" s="132"/>
      <c r="BM63" s="133"/>
    </row>
    <row r="64" spans="3:65" s="3" customFormat="1" ht="7.15" customHeight="1" x14ac:dyDescent="0.25">
      <c r="C64" s="131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3"/>
    </row>
    <row r="65" spans="3:65" s="3" customFormat="1" ht="7.15" customHeight="1" x14ac:dyDescent="0.25">
      <c r="C65" s="131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2"/>
      <c r="BE65" s="132"/>
      <c r="BF65" s="132"/>
      <c r="BG65" s="132"/>
      <c r="BH65" s="132"/>
      <c r="BI65" s="132"/>
      <c r="BJ65" s="132"/>
      <c r="BK65" s="132"/>
      <c r="BL65" s="132"/>
      <c r="BM65" s="133"/>
    </row>
    <row r="66" spans="3:65" s="3" customFormat="1" ht="7.15" customHeight="1" x14ac:dyDescent="0.25">
      <c r="C66" s="131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  <c r="BC66" s="132"/>
      <c r="BD66" s="132"/>
      <c r="BE66" s="132"/>
      <c r="BF66" s="132"/>
      <c r="BG66" s="132"/>
      <c r="BH66" s="132"/>
      <c r="BI66" s="132"/>
      <c r="BJ66" s="132"/>
      <c r="BK66" s="132"/>
      <c r="BL66" s="132"/>
      <c r="BM66" s="133"/>
    </row>
    <row r="67" spans="3:65" s="3" customFormat="1" ht="7.15" customHeight="1" x14ac:dyDescent="0.25">
      <c r="C67" s="131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/>
      <c r="BB67" s="132"/>
      <c r="BC67" s="132"/>
      <c r="BD67" s="132"/>
      <c r="BE67" s="132"/>
      <c r="BF67" s="132"/>
      <c r="BG67" s="132"/>
      <c r="BH67" s="132"/>
      <c r="BI67" s="132"/>
      <c r="BJ67" s="132"/>
      <c r="BK67" s="132"/>
      <c r="BL67" s="132"/>
      <c r="BM67" s="133"/>
    </row>
    <row r="68" spans="3:65" s="3" customFormat="1" ht="7.15" customHeight="1" x14ac:dyDescent="0.25">
      <c r="C68" s="13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5"/>
      <c r="AS68" s="135"/>
      <c r="AT68" s="135"/>
      <c r="AU68" s="135"/>
      <c r="AV68" s="135"/>
      <c r="AW68" s="135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6"/>
    </row>
    <row r="69" spans="3:65" s="3" customFormat="1" ht="7.15" customHeight="1" x14ac:dyDescent="0.25"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</row>
    <row r="70" spans="3:65" s="3" customFormat="1" ht="7.15" customHeight="1" x14ac:dyDescent="0.25"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</row>
    <row r="71" spans="3:65" s="3" customFormat="1" ht="7.15" customHeight="1" x14ac:dyDescent="0.25"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</row>
    <row r="72" spans="3:65" s="3" customFormat="1" ht="6" customHeight="1" x14ac:dyDescent="0.25">
      <c r="C72" s="137" t="s">
        <v>26</v>
      </c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</row>
    <row r="73" spans="3:65" s="3" customFormat="1" ht="6.75" customHeight="1" x14ac:dyDescent="0.25"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</row>
    <row r="74" spans="3:65" s="3" customFormat="1" ht="7.15" customHeight="1" x14ac:dyDescent="0.25"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</row>
    <row r="75" spans="3:65" s="3" customFormat="1" ht="6" customHeight="1" x14ac:dyDescent="0.25"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</row>
    <row r="76" spans="3:65" s="3" customFormat="1" ht="6" customHeight="1" x14ac:dyDescent="0.25"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</row>
    <row r="77" spans="3:65" s="3" customFormat="1" ht="6" customHeight="1" x14ac:dyDescent="0.25"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</row>
    <row r="78" spans="3:65" s="3" customFormat="1" ht="6" customHeight="1" x14ac:dyDescent="0.25"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</row>
    <row r="79" spans="3:65" s="3" customFormat="1" ht="6.75" customHeight="1" x14ac:dyDescent="0.25">
      <c r="C79" s="11"/>
      <c r="D79" s="11"/>
      <c r="E79" s="11"/>
      <c r="F79" s="11"/>
      <c r="G79" s="11"/>
      <c r="H79" s="11"/>
      <c r="I79" s="11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BF79" s="5"/>
    </row>
    <row r="80" spans="3:65" s="3" customFormat="1" ht="15.75" customHeight="1" x14ac:dyDescent="0.25">
      <c r="C80" s="138" t="s">
        <v>27</v>
      </c>
      <c r="D80" s="138"/>
      <c r="E80" s="138"/>
      <c r="F80" s="138"/>
      <c r="G80" s="138"/>
      <c r="H80" s="138"/>
      <c r="I80" s="138"/>
      <c r="J80" s="138"/>
      <c r="K80" s="138"/>
      <c r="L80" s="138"/>
      <c r="M80" s="53"/>
      <c r="N80" s="53"/>
      <c r="O80" s="140" t="s">
        <v>83</v>
      </c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  <c r="AK80" s="140"/>
      <c r="AL80" s="140"/>
      <c r="AM80" s="140"/>
      <c r="AN80" s="140"/>
      <c r="AO80" s="140"/>
      <c r="AP80" s="140"/>
      <c r="AQ80" s="140"/>
      <c r="AR80" s="140"/>
      <c r="AS80" s="140"/>
      <c r="AT80" s="140"/>
      <c r="AU80" s="140"/>
      <c r="AV80" s="5"/>
      <c r="AW80" s="142" t="s">
        <v>29</v>
      </c>
      <c r="AX80" s="142"/>
      <c r="AY80" s="142"/>
      <c r="AZ80" s="142"/>
      <c r="BA80" s="142"/>
      <c r="BB80" s="55"/>
      <c r="BC80" s="144" t="str">
        <f>VLOOKUP(O80,Hoja2!E2:F23,2,0)</f>
        <v>D</v>
      </c>
      <c r="BD80" s="144"/>
      <c r="BE80" s="144"/>
      <c r="BF80" s="144"/>
      <c r="BG80" s="144"/>
      <c r="BH80" s="144"/>
      <c r="BI80" s="144"/>
      <c r="BJ80" s="144"/>
      <c r="BK80" s="144"/>
      <c r="BL80" s="144"/>
      <c r="BM80" s="144"/>
    </row>
    <row r="81" spans="3:65" s="3" customFormat="1" ht="11.25" customHeight="1" x14ac:dyDescent="0.25"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53"/>
      <c r="N81" s="53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  <c r="AJ81" s="141"/>
      <c r="AK81" s="141"/>
      <c r="AL81" s="141"/>
      <c r="AM81" s="141"/>
      <c r="AN81" s="141"/>
      <c r="AO81" s="141"/>
      <c r="AP81" s="141"/>
      <c r="AQ81" s="141"/>
      <c r="AR81" s="141"/>
      <c r="AS81" s="141"/>
      <c r="AT81" s="141"/>
      <c r="AU81" s="141"/>
      <c r="AV81" s="5"/>
      <c r="AW81" s="143"/>
      <c r="AX81" s="143"/>
      <c r="AY81" s="143"/>
      <c r="AZ81" s="143"/>
      <c r="BA81" s="143"/>
      <c r="BB81" s="55"/>
      <c r="BC81" s="145"/>
      <c r="BD81" s="145"/>
      <c r="BE81" s="145"/>
      <c r="BF81" s="145"/>
      <c r="BG81" s="145"/>
      <c r="BH81" s="145"/>
      <c r="BI81" s="145"/>
      <c r="BJ81" s="145"/>
      <c r="BK81" s="145"/>
      <c r="BL81" s="145"/>
      <c r="BM81" s="145"/>
    </row>
    <row r="82" spans="3:65" s="3" customFormat="1" ht="6.75" customHeight="1" x14ac:dyDescent="0.25"/>
    <row r="83" spans="3:65" s="3" customFormat="1" ht="6.75" customHeight="1" x14ac:dyDescent="0.25">
      <c r="C83" s="11"/>
      <c r="D83" s="11"/>
      <c r="E83" s="11"/>
      <c r="F83" s="11"/>
      <c r="G83" s="11"/>
      <c r="H83" s="11"/>
      <c r="I83" s="11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</row>
    <row r="84" spans="3:65" s="3" customFormat="1" ht="6" customHeight="1" x14ac:dyDescent="0.25"/>
    <row r="85" spans="3:65" s="3" customFormat="1" ht="12" customHeight="1" x14ac:dyDescent="0.25">
      <c r="C85" s="106" t="s">
        <v>30</v>
      </c>
      <c r="D85" s="106"/>
      <c r="E85" s="106"/>
      <c r="F85" s="106"/>
      <c r="G85" s="106"/>
      <c r="H85" s="106"/>
      <c r="I85" s="106"/>
      <c r="J85" s="106"/>
      <c r="K85" s="106"/>
      <c r="L85" s="106"/>
      <c r="M85" s="6"/>
      <c r="N85" s="6"/>
      <c r="O85" s="147" t="s">
        <v>255</v>
      </c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7"/>
      <c r="AW85" s="77" t="s">
        <v>9</v>
      </c>
      <c r="AX85" s="77"/>
      <c r="AY85" s="77"/>
      <c r="AZ85" s="77"/>
      <c r="BA85" s="77"/>
      <c r="BC85" s="81" t="s">
        <v>10</v>
      </c>
      <c r="BD85" s="81"/>
      <c r="BE85" s="81"/>
      <c r="BF85" s="81"/>
      <c r="BG85" s="81"/>
      <c r="BH85" s="81"/>
      <c r="BI85" s="81"/>
      <c r="BJ85" s="81"/>
      <c r="BK85" s="81"/>
      <c r="BL85" s="81"/>
      <c r="BM85" s="81"/>
    </row>
    <row r="86" spans="3:65" s="3" customFormat="1" ht="4.5" customHeight="1" x14ac:dyDescent="0.25"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6"/>
      <c r="N86" s="6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7"/>
      <c r="AT86" s="147"/>
      <c r="AU86" s="147"/>
      <c r="AV86" s="5"/>
      <c r="AW86" s="77"/>
      <c r="AX86" s="77"/>
      <c r="AY86" s="77"/>
      <c r="AZ86" s="77"/>
      <c r="BA86" s="77"/>
      <c r="BB86" s="55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</row>
    <row r="87" spans="3:65" s="3" customFormat="1" ht="7.15" customHeight="1" x14ac:dyDescent="0.25"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6"/>
      <c r="N87" s="6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8"/>
      <c r="AB87" s="148"/>
      <c r="AC87" s="148"/>
      <c r="AD87" s="148"/>
      <c r="AE87" s="148"/>
      <c r="AF87" s="148"/>
      <c r="AG87" s="148"/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5"/>
      <c r="AW87" s="78"/>
      <c r="AX87" s="78"/>
      <c r="AY87" s="78"/>
      <c r="AZ87" s="78"/>
      <c r="BA87" s="78"/>
      <c r="BB87" s="55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</row>
    <row r="88" spans="3:65" s="3" customFormat="1" ht="7.15" customHeight="1" x14ac:dyDescent="0.25">
      <c r="V88" s="6"/>
      <c r="BC88" s="5"/>
      <c r="BF88" s="5"/>
    </row>
    <row r="89" spans="3:65" s="3" customFormat="1" ht="7.15" customHeight="1" x14ac:dyDescent="0.25">
      <c r="V89" s="6"/>
      <c r="BC89" s="5"/>
      <c r="BF89" s="5"/>
    </row>
    <row r="90" spans="3:65" s="3" customFormat="1" ht="6.75" customHeight="1" x14ac:dyDescent="0.25">
      <c r="V90" s="6"/>
      <c r="BC90" s="5"/>
      <c r="BF90" s="5"/>
    </row>
    <row r="91" spans="3:65" s="3" customFormat="1" ht="15" customHeight="1" x14ac:dyDescent="0.25">
      <c r="C91" s="149" t="s">
        <v>11</v>
      </c>
      <c r="D91" s="149"/>
      <c r="E91" s="149"/>
      <c r="F91" s="149"/>
      <c r="G91" s="149"/>
      <c r="H91" s="149"/>
      <c r="I91" s="149"/>
      <c r="J91" s="149"/>
      <c r="K91" s="149"/>
      <c r="L91" s="149"/>
      <c r="O91" s="151">
        <f>IFERROR(VLOOKUP(AI91,Hoja2!P6:Q46,2,0),0)</f>
        <v>0</v>
      </c>
      <c r="P91" s="151"/>
      <c r="Q91" s="151"/>
      <c r="R91" s="151"/>
      <c r="S91" s="151"/>
      <c r="T91" s="151"/>
      <c r="U91" s="151"/>
      <c r="X91" s="83" t="s">
        <v>12</v>
      </c>
      <c r="Y91" s="83"/>
      <c r="Z91" s="83"/>
      <c r="AA91" s="83"/>
      <c r="AB91" s="83"/>
      <c r="AC91" s="83"/>
      <c r="AD91" s="83"/>
      <c r="AE91" s="83"/>
      <c r="AF91" s="83"/>
      <c r="AG91" s="83"/>
      <c r="AH91" s="8"/>
      <c r="AI91" s="151">
        <f>IFERROR(VLOOKUP(O85,Hoja2!H2:I58,2,0),0)</f>
        <v>0</v>
      </c>
      <c r="AJ91" s="151"/>
      <c r="AK91" s="151"/>
      <c r="AL91" s="151"/>
      <c r="AM91" s="151"/>
      <c r="AN91" s="151"/>
      <c r="AO91" s="151"/>
      <c r="AP91" s="151"/>
      <c r="AQ91" s="151"/>
      <c r="AR91" s="151"/>
      <c r="AS91" s="151"/>
      <c r="AT91" s="151"/>
      <c r="AU91" s="151"/>
      <c r="AV91" s="122" t="s">
        <v>13</v>
      </c>
      <c r="AW91" s="122"/>
      <c r="AX91" s="122"/>
      <c r="AY91" s="122"/>
      <c r="AZ91" s="122"/>
      <c r="BA91" s="122"/>
      <c r="BB91" s="51"/>
      <c r="BC91" s="124" t="s">
        <v>82</v>
      </c>
      <c r="BD91" s="124"/>
      <c r="BE91" s="124"/>
      <c r="BF91" s="124"/>
      <c r="BG91" s="124"/>
      <c r="BH91" s="124"/>
      <c r="BI91" s="124"/>
      <c r="BJ91" s="124"/>
      <c r="BK91" s="124"/>
      <c r="BL91" s="124"/>
      <c r="BM91" s="124"/>
    </row>
    <row r="92" spans="3:65" s="3" customFormat="1" ht="7.15" customHeight="1" x14ac:dyDescent="0.25"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O92" s="152"/>
      <c r="P92" s="152"/>
      <c r="Q92" s="152"/>
      <c r="R92" s="152"/>
      <c r="S92" s="152"/>
      <c r="T92" s="152"/>
      <c r="U92" s="152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22"/>
      <c r="AW92" s="123"/>
      <c r="AX92" s="123"/>
      <c r="AY92" s="123"/>
      <c r="AZ92" s="123"/>
      <c r="BA92" s="123"/>
      <c r="BB92" s="51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</row>
    <row r="93" spans="3:65" s="3" customFormat="1" ht="7.15" customHeight="1" x14ac:dyDescent="0.25">
      <c r="C93" s="11"/>
      <c r="D93" s="11"/>
      <c r="E93" s="11"/>
      <c r="F93" s="11"/>
      <c r="G93" s="11"/>
      <c r="H93" s="11"/>
      <c r="I93" s="11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BF93" s="5"/>
    </row>
    <row r="94" spans="3:65" s="3" customFormat="1" ht="7.15" customHeight="1" x14ac:dyDescent="0.25">
      <c r="C94" s="11"/>
      <c r="D94" s="11"/>
      <c r="E94" s="11"/>
      <c r="F94" s="11"/>
      <c r="G94" s="11"/>
      <c r="H94" s="11"/>
      <c r="I94" s="11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BF94" s="5"/>
    </row>
    <row r="95" spans="3:65" s="3" customFormat="1" ht="7.15" customHeight="1" x14ac:dyDescent="0.25">
      <c r="C95" s="11"/>
      <c r="D95" s="11"/>
      <c r="E95" s="11"/>
      <c r="F95" s="11"/>
      <c r="G95" s="11"/>
      <c r="H95" s="11"/>
      <c r="I95" s="11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BF95" s="5"/>
    </row>
    <row r="96" spans="3:65" s="3" customFormat="1" ht="7.15" customHeight="1" x14ac:dyDescent="0.25">
      <c r="C96" s="106" t="s">
        <v>32</v>
      </c>
      <c r="D96" s="106"/>
      <c r="E96" s="106"/>
      <c r="F96" s="106"/>
      <c r="G96" s="106"/>
      <c r="H96" s="106"/>
      <c r="I96" s="106"/>
      <c r="J96" s="106"/>
      <c r="K96" s="106"/>
      <c r="L96" s="106"/>
      <c r="M96" s="11"/>
      <c r="N96" s="11"/>
      <c r="O96" s="108"/>
      <c r="P96" s="108"/>
      <c r="Q96" s="108"/>
      <c r="R96" s="108"/>
      <c r="S96" s="108"/>
      <c r="T96" s="108"/>
      <c r="U96" s="108"/>
      <c r="V96" s="17"/>
      <c r="W96" s="54"/>
      <c r="X96" s="5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</row>
    <row r="97" spans="3:65" s="3" customFormat="1" ht="7.15" customHeight="1" x14ac:dyDescent="0.25"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1"/>
      <c r="N97" s="11"/>
      <c r="O97" s="108"/>
      <c r="P97" s="108"/>
      <c r="Q97" s="108"/>
      <c r="R97" s="108"/>
      <c r="S97" s="108"/>
      <c r="T97" s="108"/>
      <c r="U97" s="108"/>
      <c r="V97" s="17"/>
      <c r="X97" s="53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</row>
    <row r="98" spans="3:65" s="3" customFormat="1" ht="7.15" customHeight="1" x14ac:dyDescent="0.25"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1"/>
      <c r="N98" s="11"/>
      <c r="O98" s="108"/>
      <c r="P98" s="108"/>
      <c r="Q98" s="108"/>
      <c r="R98" s="108"/>
      <c r="S98" s="108"/>
      <c r="T98" s="108"/>
      <c r="U98" s="108"/>
      <c r="V98" s="17"/>
      <c r="X98" s="5"/>
      <c r="Y98" s="5"/>
      <c r="Z98" s="5"/>
      <c r="AA98" s="5"/>
      <c r="AB98" s="5"/>
      <c r="AC98" s="5"/>
      <c r="AD98" s="5"/>
      <c r="AE98" s="5"/>
      <c r="AF98" s="5"/>
      <c r="AG98" s="54"/>
      <c r="AH98" s="13"/>
      <c r="AI98" s="13"/>
      <c r="AJ98" s="13"/>
      <c r="AK98" s="13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</row>
    <row r="99" spans="3:65" s="3" customFormat="1" ht="7.15" customHeight="1" thickBot="1" x14ac:dyDescent="0.3"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1"/>
      <c r="N99" s="11"/>
      <c r="O99" s="109"/>
      <c r="P99" s="109"/>
      <c r="Q99" s="109"/>
      <c r="R99" s="109"/>
      <c r="S99" s="109"/>
      <c r="T99" s="109"/>
      <c r="U99" s="109"/>
      <c r="V99" s="17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</row>
    <row r="100" spans="3:65" s="3" customFormat="1" ht="7.15" customHeight="1" x14ac:dyDescent="0.25"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47"/>
      <c r="P100" s="47"/>
      <c r="Q100" s="47"/>
      <c r="R100" s="47"/>
      <c r="S100" s="47"/>
      <c r="T100" s="47"/>
      <c r="U100" s="47"/>
      <c r="V100" s="17"/>
      <c r="X100" s="5"/>
      <c r="Y100" s="5"/>
      <c r="Z100" s="5"/>
      <c r="AA100" s="5"/>
      <c r="AB100" s="5"/>
      <c r="AC100" s="5"/>
      <c r="AD100" s="5"/>
      <c r="AE100" s="5"/>
      <c r="AF100" s="5"/>
      <c r="AG100" s="54"/>
      <c r="AH100" s="13"/>
      <c r="AI100" s="13"/>
      <c r="AJ100" s="13"/>
      <c r="AK100" s="13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</row>
    <row r="101" spans="3:65" s="3" customFormat="1" ht="7.15" customHeight="1" x14ac:dyDescent="0.25"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</row>
    <row r="102" spans="3:65" s="3" customFormat="1" ht="7.15" customHeight="1" x14ac:dyDescent="0.25"/>
    <row r="103" spans="3:65" s="3" customFormat="1" ht="7.15" customHeight="1" x14ac:dyDescent="0.25">
      <c r="C103" s="20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2"/>
    </row>
    <row r="104" spans="3:65" s="3" customFormat="1" ht="7.15" customHeight="1" x14ac:dyDescent="0.25">
      <c r="C104" s="23"/>
      <c r="D104" s="110" t="s">
        <v>33</v>
      </c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24"/>
      <c r="U104" s="24"/>
      <c r="V104" s="24"/>
      <c r="AF104" s="14"/>
      <c r="AG104" s="14"/>
      <c r="AH104" s="14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Y104" s="25"/>
      <c r="AZ104" s="25"/>
      <c r="BA104" s="25"/>
      <c r="BB104" s="25"/>
      <c r="BM104" s="26"/>
    </row>
    <row r="105" spans="3:65" s="3" customFormat="1" ht="7.15" customHeight="1" x14ac:dyDescent="0.25">
      <c r="C105" s="23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24"/>
      <c r="U105" s="24"/>
      <c r="V105" s="24"/>
      <c r="AF105" s="14"/>
      <c r="AG105" s="14"/>
      <c r="AH105" s="14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Y105" s="25"/>
      <c r="AZ105" s="25"/>
      <c r="BA105" s="25"/>
      <c r="BB105" s="25"/>
      <c r="BM105" s="26"/>
    </row>
    <row r="106" spans="3:65" s="3" customFormat="1" ht="7.15" customHeight="1" x14ac:dyDescent="0.25">
      <c r="C106" s="27"/>
      <c r="D106" s="111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3"/>
      <c r="BM106" s="26"/>
    </row>
    <row r="107" spans="3:65" s="3" customFormat="1" ht="14.25" customHeight="1" x14ac:dyDescent="0.25">
      <c r="C107" s="27"/>
      <c r="D107" s="114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115"/>
      <c r="AK107" s="115"/>
      <c r="AL107" s="115"/>
      <c r="AM107" s="115"/>
      <c r="AN107" s="115"/>
      <c r="AO107" s="115"/>
      <c r="AP107" s="115"/>
      <c r="AQ107" s="115"/>
      <c r="AR107" s="115"/>
      <c r="AS107" s="115"/>
      <c r="AT107" s="115"/>
      <c r="AU107" s="115"/>
      <c r="AV107" s="115"/>
      <c r="AW107" s="115"/>
      <c r="AX107" s="115"/>
      <c r="AY107" s="115"/>
      <c r="AZ107" s="115"/>
      <c r="BA107" s="115"/>
      <c r="BB107" s="115"/>
      <c r="BC107" s="115"/>
      <c r="BD107" s="115"/>
      <c r="BE107" s="115"/>
      <c r="BF107" s="115"/>
      <c r="BG107" s="115"/>
      <c r="BH107" s="115"/>
      <c r="BI107" s="115"/>
      <c r="BJ107" s="115"/>
      <c r="BK107" s="115"/>
      <c r="BL107" s="116"/>
      <c r="BM107" s="26"/>
    </row>
    <row r="108" spans="3:65" s="3" customFormat="1" ht="14.25" customHeight="1" x14ac:dyDescent="0.25">
      <c r="C108" s="27"/>
      <c r="D108" s="114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115"/>
      <c r="AK108" s="115"/>
      <c r="AL108" s="115"/>
      <c r="AM108" s="115"/>
      <c r="AN108" s="115"/>
      <c r="AO108" s="115"/>
      <c r="AP108" s="115"/>
      <c r="AQ108" s="115"/>
      <c r="AR108" s="115"/>
      <c r="AS108" s="115"/>
      <c r="AT108" s="115"/>
      <c r="AU108" s="115"/>
      <c r="AV108" s="115"/>
      <c r="AW108" s="115"/>
      <c r="AX108" s="115"/>
      <c r="AY108" s="115"/>
      <c r="AZ108" s="115"/>
      <c r="BA108" s="115"/>
      <c r="BB108" s="115"/>
      <c r="BC108" s="115"/>
      <c r="BD108" s="115"/>
      <c r="BE108" s="115"/>
      <c r="BF108" s="115"/>
      <c r="BG108" s="115"/>
      <c r="BH108" s="115"/>
      <c r="BI108" s="115"/>
      <c r="BJ108" s="115"/>
      <c r="BK108" s="115"/>
      <c r="BL108" s="116"/>
      <c r="BM108" s="26"/>
    </row>
    <row r="109" spans="3:65" s="3" customFormat="1" ht="14.25" customHeight="1" x14ac:dyDescent="0.25">
      <c r="C109" s="27"/>
      <c r="D109" s="114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  <c r="AK109" s="115"/>
      <c r="AL109" s="115"/>
      <c r="AM109" s="115"/>
      <c r="AN109" s="115"/>
      <c r="AO109" s="115"/>
      <c r="AP109" s="115"/>
      <c r="AQ109" s="115"/>
      <c r="AR109" s="115"/>
      <c r="AS109" s="115"/>
      <c r="AT109" s="115"/>
      <c r="AU109" s="115"/>
      <c r="AV109" s="115"/>
      <c r="AW109" s="115"/>
      <c r="AX109" s="115"/>
      <c r="AY109" s="115"/>
      <c r="AZ109" s="115"/>
      <c r="BA109" s="115"/>
      <c r="BB109" s="115"/>
      <c r="BC109" s="115"/>
      <c r="BD109" s="115"/>
      <c r="BE109" s="115"/>
      <c r="BF109" s="115"/>
      <c r="BG109" s="115"/>
      <c r="BH109" s="115"/>
      <c r="BI109" s="115"/>
      <c r="BJ109" s="115"/>
      <c r="BK109" s="115"/>
      <c r="BL109" s="116"/>
      <c r="BM109" s="26"/>
    </row>
    <row r="110" spans="3:65" s="3" customFormat="1" ht="14.25" customHeight="1" x14ac:dyDescent="0.25">
      <c r="C110" s="27"/>
      <c r="D110" s="114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115"/>
      <c r="AI110" s="115"/>
      <c r="AJ110" s="115"/>
      <c r="AK110" s="115"/>
      <c r="AL110" s="115"/>
      <c r="AM110" s="115"/>
      <c r="AN110" s="115"/>
      <c r="AO110" s="115"/>
      <c r="AP110" s="115"/>
      <c r="AQ110" s="115"/>
      <c r="AR110" s="115"/>
      <c r="AS110" s="115"/>
      <c r="AT110" s="115"/>
      <c r="AU110" s="115"/>
      <c r="AV110" s="115"/>
      <c r="AW110" s="115"/>
      <c r="AX110" s="115"/>
      <c r="AY110" s="115"/>
      <c r="AZ110" s="115"/>
      <c r="BA110" s="115"/>
      <c r="BB110" s="115"/>
      <c r="BC110" s="115"/>
      <c r="BD110" s="115"/>
      <c r="BE110" s="115"/>
      <c r="BF110" s="115"/>
      <c r="BG110" s="115"/>
      <c r="BH110" s="115"/>
      <c r="BI110" s="115"/>
      <c r="BJ110" s="115"/>
      <c r="BK110" s="115"/>
      <c r="BL110" s="116"/>
      <c r="BM110" s="26"/>
    </row>
    <row r="111" spans="3:65" s="3" customFormat="1" ht="14.25" customHeight="1" x14ac:dyDescent="0.25">
      <c r="C111" s="27"/>
      <c r="D111" s="114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  <c r="AL111" s="115"/>
      <c r="AM111" s="115"/>
      <c r="AN111" s="115"/>
      <c r="AO111" s="115"/>
      <c r="AP111" s="115"/>
      <c r="AQ111" s="115"/>
      <c r="AR111" s="115"/>
      <c r="AS111" s="115"/>
      <c r="AT111" s="115"/>
      <c r="AU111" s="115"/>
      <c r="AV111" s="115"/>
      <c r="AW111" s="115"/>
      <c r="AX111" s="115"/>
      <c r="AY111" s="115"/>
      <c r="AZ111" s="115"/>
      <c r="BA111" s="115"/>
      <c r="BB111" s="115"/>
      <c r="BC111" s="115"/>
      <c r="BD111" s="115"/>
      <c r="BE111" s="115"/>
      <c r="BF111" s="115"/>
      <c r="BG111" s="115"/>
      <c r="BH111" s="115"/>
      <c r="BI111" s="115"/>
      <c r="BJ111" s="115"/>
      <c r="BK111" s="115"/>
      <c r="BL111" s="116"/>
      <c r="BM111" s="26"/>
    </row>
    <row r="112" spans="3:65" s="3" customFormat="1" ht="14.25" customHeight="1" x14ac:dyDescent="0.25">
      <c r="C112" s="27"/>
      <c r="D112" s="114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115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5"/>
      <c r="BL112" s="116"/>
      <c r="BM112" s="26"/>
    </row>
    <row r="113" spans="3:65" s="3" customFormat="1" ht="14.25" customHeight="1" x14ac:dyDescent="0.25">
      <c r="C113" s="27"/>
      <c r="D113" s="114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5"/>
      <c r="AK113" s="115"/>
      <c r="AL113" s="115"/>
      <c r="AM113" s="115"/>
      <c r="AN113" s="115"/>
      <c r="AO113" s="115"/>
      <c r="AP113" s="115"/>
      <c r="AQ113" s="115"/>
      <c r="AR113" s="115"/>
      <c r="AS113" s="115"/>
      <c r="AT113" s="115"/>
      <c r="AU113" s="115"/>
      <c r="AV113" s="115"/>
      <c r="AW113" s="115"/>
      <c r="AX113" s="115"/>
      <c r="AY113" s="115"/>
      <c r="AZ113" s="115"/>
      <c r="BA113" s="115"/>
      <c r="BB113" s="115"/>
      <c r="BC113" s="115"/>
      <c r="BD113" s="115"/>
      <c r="BE113" s="115"/>
      <c r="BF113" s="115"/>
      <c r="BG113" s="115"/>
      <c r="BH113" s="115"/>
      <c r="BI113" s="115"/>
      <c r="BJ113" s="115"/>
      <c r="BK113" s="115"/>
      <c r="BL113" s="116"/>
      <c r="BM113" s="26"/>
    </row>
    <row r="114" spans="3:65" s="3" customFormat="1" ht="41.25" customHeight="1" x14ac:dyDescent="0.25">
      <c r="C114" s="27"/>
      <c r="D114" s="114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  <c r="AI114" s="115"/>
      <c r="AJ114" s="115"/>
      <c r="AK114" s="115"/>
      <c r="AL114" s="115"/>
      <c r="AM114" s="115"/>
      <c r="AN114" s="115"/>
      <c r="AO114" s="115"/>
      <c r="AP114" s="115"/>
      <c r="AQ114" s="115"/>
      <c r="AR114" s="115"/>
      <c r="AS114" s="115"/>
      <c r="AT114" s="115"/>
      <c r="AU114" s="115"/>
      <c r="AV114" s="115"/>
      <c r="AW114" s="115"/>
      <c r="AX114" s="115"/>
      <c r="AY114" s="115"/>
      <c r="AZ114" s="115"/>
      <c r="BA114" s="115"/>
      <c r="BB114" s="115"/>
      <c r="BC114" s="115"/>
      <c r="BD114" s="115"/>
      <c r="BE114" s="115"/>
      <c r="BF114" s="115"/>
      <c r="BG114" s="115"/>
      <c r="BH114" s="115"/>
      <c r="BI114" s="115"/>
      <c r="BJ114" s="115"/>
      <c r="BK114" s="115"/>
      <c r="BL114" s="116"/>
      <c r="BM114" s="26"/>
    </row>
    <row r="115" spans="3:65" s="3" customFormat="1" ht="6" customHeight="1" x14ac:dyDescent="0.25">
      <c r="C115" s="27"/>
      <c r="D115" s="114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  <c r="AI115" s="115"/>
      <c r="AJ115" s="115"/>
      <c r="AK115" s="115"/>
      <c r="AL115" s="115"/>
      <c r="AM115" s="115"/>
      <c r="AN115" s="115"/>
      <c r="AO115" s="115"/>
      <c r="AP115" s="115"/>
      <c r="AQ115" s="115"/>
      <c r="AR115" s="115"/>
      <c r="AS115" s="115"/>
      <c r="AT115" s="115"/>
      <c r="AU115" s="115"/>
      <c r="AV115" s="115"/>
      <c r="AW115" s="115"/>
      <c r="AX115" s="115"/>
      <c r="AY115" s="115"/>
      <c r="AZ115" s="115"/>
      <c r="BA115" s="115"/>
      <c r="BB115" s="115"/>
      <c r="BC115" s="115"/>
      <c r="BD115" s="115"/>
      <c r="BE115" s="115"/>
      <c r="BF115" s="115"/>
      <c r="BG115" s="115"/>
      <c r="BH115" s="115"/>
      <c r="BI115" s="115"/>
      <c r="BJ115" s="115"/>
      <c r="BK115" s="115"/>
      <c r="BL115" s="116"/>
      <c r="BM115" s="26"/>
    </row>
    <row r="116" spans="3:65" s="3" customFormat="1" ht="7.15" customHeight="1" x14ac:dyDescent="0.25">
      <c r="C116" s="27"/>
      <c r="D116" s="117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  <c r="AT116" s="118"/>
      <c r="AU116" s="118"/>
      <c r="AV116" s="118"/>
      <c r="AW116" s="118"/>
      <c r="AX116" s="118"/>
      <c r="AY116" s="118"/>
      <c r="AZ116" s="118"/>
      <c r="BA116" s="118"/>
      <c r="BB116" s="118"/>
      <c r="BC116" s="118"/>
      <c r="BD116" s="118"/>
      <c r="BE116" s="118"/>
      <c r="BF116" s="118"/>
      <c r="BG116" s="118"/>
      <c r="BH116" s="118"/>
      <c r="BI116" s="118"/>
      <c r="BJ116" s="118"/>
      <c r="BK116" s="118"/>
      <c r="BL116" s="119"/>
      <c r="BM116" s="26"/>
    </row>
    <row r="117" spans="3:65" s="3" customFormat="1" ht="7.15" customHeight="1" x14ac:dyDescent="0.25">
      <c r="C117" s="28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30"/>
    </row>
    <row r="118" spans="3:65" s="3" customFormat="1" ht="7.15" customHeight="1" x14ac:dyDescent="0.25"/>
    <row r="119" spans="3:65" s="3" customFormat="1" ht="6.75" customHeight="1" x14ac:dyDescent="0.25"/>
    <row r="120" spans="3:65" s="3" customFormat="1" ht="9" customHeight="1" x14ac:dyDescent="0.25">
      <c r="C120" s="97" t="s">
        <v>34</v>
      </c>
      <c r="D120" s="98"/>
      <c r="E120" s="98"/>
      <c r="F120" s="98"/>
      <c r="G120" s="98"/>
      <c r="H120" s="98"/>
      <c r="I120" s="98"/>
      <c r="J120" s="98"/>
      <c r="K120" s="98"/>
      <c r="L120" s="98"/>
      <c r="M120" s="99"/>
      <c r="N120" s="46"/>
      <c r="P120" s="97" t="s">
        <v>35</v>
      </c>
      <c r="Q120" s="98"/>
      <c r="R120" s="98"/>
      <c r="S120" s="98"/>
      <c r="T120" s="98"/>
      <c r="U120" s="98"/>
      <c r="V120" s="98"/>
      <c r="W120" s="98"/>
      <c r="X120" s="98"/>
      <c r="Y120" s="98"/>
      <c r="Z120" s="99"/>
      <c r="AC120" s="97" t="s">
        <v>36</v>
      </c>
      <c r="AD120" s="98"/>
      <c r="AE120" s="98"/>
      <c r="AF120" s="98"/>
      <c r="AG120" s="98"/>
      <c r="AH120" s="98"/>
      <c r="AI120" s="98"/>
      <c r="AJ120" s="98"/>
      <c r="AK120" s="98"/>
      <c r="AL120" s="98"/>
      <c r="AM120" s="99"/>
      <c r="AP120" s="97" t="s">
        <v>37</v>
      </c>
      <c r="AQ120" s="98"/>
      <c r="AR120" s="98"/>
      <c r="AS120" s="98"/>
      <c r="AT120" s="98"/>
      <c r="AU120" s="98"/>
      <c r="AV120" s="98"/>
      <c r="AW120" s="98"/>
      <c r="AX120" s="98"/>
      <c r="AY120" s="98"/>
      <c r="AZ120" s="99"/>
      <c r="BC120" s="97" t="s">
        <v>38</v>
      </c>
      <c r="BD120" s="98"/>
      <c r="BE120" s="98"/>
      <c r="BF120" s="98"/>
      <c r="BG120" s="98"/>
      <c r="BH120" s="98"/>
      <c r="BI120" s="98"/>
      <c r="BJ120" s="98"/>
      <c r="BK120" s="98"/>
      <c r="BL120" s="98"/>
      <c r="BM120" s="99"/>
    </row>
    <row r="121" spans="3:65" s="3" customFormat="1" ht="9" customHeight="1" x14ac:dyDescent="0.25">
      <c r="C121" s="100"/>
      <c r="D121" s="101"/>
      <c r="E121" s="101"/>
      <c r="F121" s="101"/>
      <c r="G121" s="101"/>
      <c r="H121" s="101"/>
      <c r="I121" s="101"/>
      <c r="J121" s="101"/>
      <c r="K121" s="101"/>
      <c r="L121" s="101"/>
      <c r="M121" s="102"/>
      <c r="N121" s="46"/>
      <c r="P121" s="100"/>
      <c r="Q121" s="101"/>
      <c r="R121" s="101"/>
      <c r="S121" s="101"/>
      <c r="T121" s="101"/>
      <c r="U121" s="101"/>
      <c r="V121" s="101"/>
      <c r="W121" s="101"/>
      <c r="X121" s="101"/>
      <c r="Y121" s="101"/>
      <c r="Z121" s="102"/>
      <c r="AC121" s="100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2"/>
      <c r="AP121" s="100"/>
      <c r="AQ121" s="101"/>
      <c r="AR121" s="101"/>
      <c r="AS121" s="101"/>
      <c r="AT121" s="101"/>
      <c r="AU121" s="101"/>
      <c r="AV121" s="101"/>
      <c r="AW121" s="101"/>
      <c r="AX121" s="101"/>
      <c r="AY121" s="101"/>
      <c r="AZ121" s="102"/>
      <c r="BC121" s="100"/>
      <c r="BD121" s="101"/>
      <c r="BE121" s="101"/>
      <c r="BF121" s="101"/>
      <c r="BG121" s="101"/>
      <c r="BH121" s="101"/>
      <c r="BI121" s="101"/>
      <c r="BJ121" s="101"/>
      <c r="BK121" s="101"/>
      <c r="BL121" s="101"/>
      <c r="BM121" s="102"/>
    </row>
    <row r="122" spans="3:65" s="3" customFormat="1" ht="9" customHeight="1" x14ac:dyDescent="0.25">
      <c r="C122" s="86"/>
      <c r="D122" s="76"/>
      <c r="E122" s="76"/>
      <c r="F122" s="76"/>
      <c r="G122" s="76"/>
      <c r="H122" s="76"/>
      <c r="I122" s="76"/>
      <c r="J122" s="76"/>
      <c r="K122" s="76"/>
      <c r="L122" s="76"/>
      <c r="M122" s="87"/>
      <c r="N122" s="46"/>
      <c r="P122" s="86"/>
      <c r="Q122" s="76"/>
      <c r="R122" s="76"/>
      <c r="S122" s="76"/>
      <c r="T122" s="76"/>
      <c r="U122" s="76"/>
      <c r="V122" s="76"/>
      <c r="W122" s="76"/>
      <c r="X122" s="76"/>
      <c r="Y122" s="76"/>
      <c r="Z122" s="87"/>
      <c r="AC122" s="86"/>
      <c r="AD122" s="76"/>
      <c r="AE122" s="76"/>
      <c r="AF122" s="76"/>
      <c r="AG122" s="76"/>
      <c r="AH122" s="76"/>
      <c r="AI122" s="76"/>
      <c r="AJ122" s="76"/>
      <c r="AK122" s="76"/>
      <c r="AL122" s="76"/>
      <c r="AM122" s="87"/>
      <c r="AP122" s="86"/>
      <c r="AQ122" s="76"/>
      <c r="AR122" s="76"/>
      <c r="AS122" s="76"/>
      <c r="AT122" s="76"/>
      <c r="AU122" s="76"/>
      <c r="AV122" s="76"/>
      <c r="AW122" s="76"/>
      <c r="AX122" s="76"/>
      <c r="AY122" s="76"/>
      <c r="AZ122" s="87"/>
      <c r="BC122" s="86"/>
      <c r="BD122" s="76"/>
      <c r="BE122" s="76"/>
      <c r="BF122" s="76"/>
      <c r="BG122" s="76"/>
      <c r="BH122" s="76"/>
      <c r="BI122" s="76"/>
      <c r="BJ122" s="76"/>
      <c r="BK122" s="76"/>
      <c r="BL122" s="76"/>
      <c r="BM122" s="87"/>
    </row>
    <row r="123" spans="3:65" s="3" customFormat="1" ht="9" customHeight="1" x14ac:dyDescent="0.25">
      <c r="C123" s="86"/>
      <c r="D123" s="76"/>
      <c r="E123" s="76"/>
      <c r="F123" s="76"/>
      <c r="G123" s="76"/>
      <c r="H123" s="76"/>
      <c r="I123" s="76"/>
      <c r="J123" s="76"/>
      <c r="K123" s="76"/>
      <c r="L123" s="76"/>
      <c r="M123" s="87"/>
      <c r="N123" s="46"/>
      <c r="P123" s="86"/>
      <c r="Q123" s="76"/>
      <c r="R123" s="76"/>
      <c r="S123" s="76"/>
      <c r="T123" s="76"/>
      <c r="U123" s="76"/>
      <c r="V123" s="76"/>
      <c r="W123" s="76"/>
      <c r="X123" s="76"/>
      <c r="Y123" s="76"/>
      <c r="Z123" s="87"/>
      <c r="AC123" s="86"/>
      <c r="AD123" s="76"/>
      <c r="AE123" s="76"/>
      <c r="AF123" s="76"/>
      <c r="AG123" s="76"/>
      <c r="AH123" s="76"/>
      <c r="AI123" s="76"/>
      <c r="AJ123" s="76"/>
      <c r="AK123" s="76"/>
      <c r="AL123" s="76"/>
      <c r="AM123" s="87"/>
      <c r="AP123" s="86"/>
      <c r="AQ123" s="76"/>
      <c r="AR123" s="76"/>
      <c r="AS123" s="76"/>
      <c r="AT123" s="76"/>
      <c r="AU123" s="76"/>
      <c r="AV123" s="76"/>
      <c r="AW123" s="76"/>
      <c r="AX123" s="76"/>
      <c r="AY123" s="76"/>
      <c r="AZ123" s="87"/>
      <c r="BC123" s="86"/>
      <c r="BD123" s="76"/>
      <c r="BE123" s="76"/>
      <c r="BF123" s="76"/>
      <c r="BG123" s="76"/>
      <c r="BH123" s="76"/>
      <c r="BI123" s="76"/>
      <c r="BJ123" s="76"/>
      <c r="BK123" s="76"/>
      <c r="BL123" s="76"/>
      <c r="BM123" s="87"/>
    </row>
    <row r="124" spans="3:65" s="3" customFormat="1" ht="9" customHeight="1" x14ac:dyDescent="0.25">
      <c r="C124" s="86"/>
      <c r="D124" s="76"/>
      <c r="E124" s="76"/>
      <c r="F124" s="76"/>
      <c r="G124" s="76"/>
      <c r="H124" s="76"/>
      <c r="I124" s="76"/>
      <c r="J124" s="76"/>
      <c r="K124" s="76"/>
      <c r="L124" s="76"/>
      <c r="M124" s="87"/>
      <c r="N124" s="46"/>
      <c r="P124" s="86"/>
      <c r="Q124" s="76"/>
      <c r="R124" s="76"/>
      <c r="S124" s="76"/>
      <c r="T124" s="76"/>
      <c r="U124" s="76"/>
      <c r="V124" s="76"/>
      <c r="W124" s="76"/>
      <c r="X124" s="76"/>
      <c r="Y124" s="76"/>
      <c r="Z124" s="87"/>
      <c r="AC124" s="86"/>
      <c r="AD124" s="76"/>
      <c r="AE124" s="76"/>
      <c r="AF124" s="76"/>
      <c r="AG124" s="76"/>
      <c r="AH124" s="76"/>
      <c r="AI124" s="76"/>
      <c r="AJ124" s="76"/>
      <c r="AK124" s="76"/>
      <c r="AL124" s="76"/>
      <c r="AM124" s="87"/>
      <c r="AP124" s="86"/>
      <c r="AQ124" s="76"/>
      <c r="AR124" s="76"/>
      <c r="AS124" s="76"/>
      <c r="AT124" s="76"/>
      <c r="AU124" s="76"/>
      <c r="AV124" s="76"/>
      <c r="AW124" s="76"/>
      <c r="AX124" s="76"/>
      <c r="AY124" s="76"/>
      <c r="AZ124" s="87"/>
      <c r="BC124" s="86"/>
      <c r="BD124" s="76"/>
      <c r="BE124" s="76"/>
      <c r="BF124" s="76"/>
      <c r="BG124" s="76"/>
      <c r="BH124" s="76"/>
      <c r="BI124" s="76"/>
      <c r="BJ124" s="76"/>
      <c r="BK124" s="76"/>
      <c r="BL124" s="76"/>
      <c r="BM124" s="87"/>
    </row>
    <row r="125" spans="3:65" s="3" customFormat="1" ht="9" customHeight="1" x14ac:dyDescent="0.25">
      <c r="C125" s="86"/>
      <c r="D125" s="76"/>
      <c r="E125" s="76"/>
      <c r="F125" s="76"/>
      <c r="G125" s="76"/>
      <c r="H125" s="76"/>
      <c r="I125" s="76"/>
      <c r="J125" s="76"/>
      <c r="K125" s="76"/>
      <c r="L125" s="76"/>
      <c r="M125" s="87"/>
      <c r="N125" s="46"/>
      <c r="P125" s="86"/>
      <c r="Q125" s="76"/>
      <c r="R125" s="76"/>
      <c r="S125" s="76"/>
      <c r="T125" s="76"/>
      <c r="U125" s="76"/>
      <c r="V125" s="76"/>
      <c r="W125" s="76"/>
      <c r="X125" s="76"/>
      <c r="Y125" s="76"/>
      <c r="Z125" s="87"/>
      <c r="AC125" s="86"/>
      <c r="AD125" s="76"/>
      <c r="AE125" s="76"/>
      <c r="AF125" s="76"/>
      <c r="AG125" s="76"/>
      <c r="AH125" s="76"/>
      <c r="AI125" s="76"/>
      <c r="AJ125" s="76"/>
      <c r="AK125" s="76"/>
      <c r="AL125" s="76"/>
      <c r="AM125" s="87"/>
      <c r="AP125" s="86"/>
      <c r="AQ125" s="76"/>
      <c r="AR125" s="76"/>
      <c r="AS125" s="76"/>
      <c r="AT125" s="76"/>
      <c r="AU125" s="76"/>
      <c r="AV125" s="76"/>
      <c r="AW125" s="76"/>
      <c r="AX125" s="76"/>
      <c r="AY125" s="76"/>
      <c r="AZ125" s="87"/>
      <c r="BC125" s="86"/>
      <c r="BD125" s="76"/>
      <c r="BE125" s="76"/>
      <c r="BF125" s="76"/>
      <c r="BG125" s="76"/>
      <c r="BH125" s="76"/>
      <c r="BI125" s="76"/>
      <c r="BJ125" s="76"/>
      <c r="BK125" s="76"/>
      <c r="BL125" s="76"/>
      <c r="BM125" s="87"/>
    </row>
    <row r="126" spans="3:65" s="3" customFormat="1" ht="9" customHeight="1" x14ac:dyDescent="0.25">
      <c r="C126" s="86"/>
      <c r="D126" s="76"/>
      <c r="E126" s="76"/>
      <c r="F126" s="76"/>
      <c r="G126" s="76"/>
      <c r="H126" s="76"/>
      <c r="I126" s="76"/>
      <c r="J126" s="76"/>
      <c r="K126" s="76"/>
      <c r="L126" s="76"/>
      <c r="M126" s="87"/>
      <c r="N126" s="46"/>
      <c r="P126" s="86"/>
      <c r="Q126" s="76"/>
      <c r="R126" s="76"/>
      <c r="S126" s="76"/>
      <c r="T126" s="76"/>
      <c r="U126" s="76"/>
      <c r="V126" s="76"/>
      <c r="W126" s="76"/>
      <c r="X126" s="76"/>
      <c r="Y126" s="76"/>
      <c r="Z126" s="87"/>
      <c r="AC126" s="86"/>
      <c r="AD126" s="76"/>
      <c r="AE126" s="76"/>
      <c r="AF126" s="76"/>
      <c r="AG126" s="76"/>
      <c r="AH126" s="76"/>
      <c r="AI126" s="76"/>
      <c r="AJ126" s="76"/>
      <c r="AK126" s="76"/>
      <c r="AL126" s="76"/>
      <c r="AM126" s="87"/>
      <c r="AP126" s="86"/>
      <c r="AQ126" s="76"/>
      <c r="AR126" s="76"/>
      <c r="AS126" s="76"/>
      <c r="AT126" s="76"/>
      <c r="AU126" s="76"/>
      <c r="AV126" s="76"/>
      <c r="AW126" s="76"/>
      <c r="AX126" s="76"/>
      <c r="AY126" s="76"/>
      <c r="AZ126" s="87"/>
      <c r="BC126" s="86"/>
      <c r="BD126" s="76"/>
      <c r="BE126" s="76"/>
      <c r="BF126" s="76"/>
      <c r="BG126" s="76"/>
      <c r="BH126" s="76"/>
      <c r="BI126" s="76"/>
      <c r="BJ126" s="76"/>
      <c r="BK126" s="76"/>
      <c r="BL126" s="76"/>
      <c r="BM126" s="87"/>
    </row>
    <row r="127" spans="3:65" s="3" customFormat="1" ht="9" customHeight="1" x14ac:dyDescent="0.25">
      <c r="C127" s="86"/>
      <c r="D127" s="76"/>
      <c r="E127" s="76"/>
      <c r="F127" s="76"/>
      <c r="G127" s="76"/>
      <c r="H127" s="76"/>
      <c r="I127" s="76"/>
      <c r="J127" s="76"/>
      <c r="K127" s="76"/>
      <c r="L127" s="76"/>
      <c r="M127" s="87"/>
      <c r="N127" s="46"/>
      <c r="P127" s="86"/>
      <c r="Q127" s="76"/>
      <c r="R127" s="76"/>
      <c r="S127" s="76"/>
      <c r="T127" s="76"/>
      <c r="U127" s="76"/>
      <c r="V127" s="76"/>
      <c r="W127" s="76"/>
      <c r="X127" s="76"/>
      <c r="Y127" s="76"/>
      <c r="Z127" s="87"/>
      <c r="AC127" s="86"/>
      <c r="AD127" s="76"/>
      <c r="AE127" s="76"/>
      <c r="AF127" s="76"/>
      <c r="AG127" s="76"/>
      <c r="AH127" s="76"/>
      <c r="AI127" s="76"/>
      <c r="AJ127" s="76"/>
      <c r="AK127" s="76"/>
      <c r="AL127" s="76"/>
      <c r="AM127" s="87"/>
      <c r="AP127" s="86"/>
      <c r="AQ127" s="76"/>
      <c r="AR127" s="76"/>
      <c r="AS127" s="76"/>
      <c r="AT127" s="76"/>
      <c r="AU127" s="76"/>
      <c r="AV127" s="76"/>
      <c r="AW127" s="76"/>
      <c r="AX127" s="76"/>
      <c r="AY127" s="76"/>
      <c r="AZ127" s="87"/>
      <c r="BC127" s="86"/>
      <c r="BD127" s="76"/>
      <c r="BE127" s="76"/>
      <c r="BF127" s="76"/>
      <c r="BG127" s="76"/>
      <c r="BH127" s="76"/>
      <c r="BI127" s="76"/>
      <c r="BJ127" s="76"/>
      <c r="BK127" s="76"/>
      <c r="BL127" s="76"/>
      <c r="BM127" s="87"/>
    </row>
    <row r="128" spans="3:65" s="3" customFormat="1" ht="9" customHeight="1" x14ac:dyDescent="0.25">
      <c r="C128" s="86"/>
      <c r="D128" s="76"/>
      <c r="E128" s="76"/>
      <c r="F128" s="76"/>
      <c r="G128" s="76"/>
      <c r="H128" s="76"/>
      <c r="I128" s="76"/>
      <c r="J128" s="76"/>
      <c r="K128" s="76"/>
      <c r="L128" s="76"/>
      <c r="M128" s="87"/>
      <c r="N128" s="46"/>
      <c r="P128" s="86"/>
      <c r="Q128" s="76"/>
      <c r="R128" s="76"/>
      <c r="S128" s="76"/>
      <c r="T128" s="76"/>
      <c r="U128" s="76"/>
      <c r="V128" s="76"/>
      <c r="W128" s="76"/>
      <c r="X128" s="76"/>
      <c r="Y128" s="76"/>
      <c r="Z128" s="87"/>
      <c r="AC128" s="86"/>
      <c r="AD128" s="76"/>
      <c r="AE128" s="76"/>
      <c r="AF128" s="76"/>
      <c r="AG128" s="76"/>
      <c r="AH128" s="76"/>
      <c r="AI128" s="76"/>
      <c r="AJ128" s="76"/>
      <c r="AK128" s="76"/>
      <c r="AL128" s="76"/>
      <c r="AM128" s="87"/>
      <c r="AP128" s="86"/>
      <c r="AQ128" s="76"/>
      <c r="AR128" s="76"/>
      <c r="AS128" s="76"/>
      <c r="AT128" s="76"/>
      <c r="AU128" s="76"/>
      <c r="AV128" s="76"/>
      <c r="AW128" s="76"/>
      <c r="AX128" s="76"/>
      <c r="AY128" s="76"/>
      <c r="AZ128" s="87"/>
      <c r="BC128" s="86"/>
      <c r="BD128" s="76"/>
      <c r="BE128" s="76"/>
      <c r="BF128" s="76"/>
      <c r="BG128" s="76"/>
      <c r="BH128" s="76"/>
      <c r="BI128" s="76"/>
      <c r="BJ128" s="76"/>
      <c r="BK128" s="76"/>
      <c r="BL128" s="76"/>
      <c r="BM128" s="87"/>
    </row>
    <row r="129" spans="1:66" s="3" customFormat="1" ht="9" customHeight="1" x14ac:dyDescent="0.25">
      <c r="C129" s="91"/>
      <c r="D129" s="92"/>
      <c r="E129" s="92"/>
      <c r="F129" s="92"/>
      <c r="G129" s="92"/>
      <c r="H129" s="92"/>
      <c r="I129" s="92"/>
      <c r="J129" s="92"/>
      <c r="K129" s="92"/>
      <c r="L129" s="92"/>
      <c r="M129" s="93"/>
      <c r="N129" s="46"/>
      <c r="P129" s="91"/>
      <c r="Q129" s="92"/>
      <c r="R129" s="92"/>
      <c r="S129" s="92"/>
      <c r="T129" s="92"/>
      <c r="U129" s="92"/>
      <c r="V129" s="92"/>
      <c r="W129" s="92"/>
      <c r="X129" s="92"/>
      <c r="Y129" s="92"/>
      <c r="Z129" s="93"/>
      <c r="AC129" s="86"/>
      <c r="AD129" s="76"/>
      <c r="AE129" s="76"/>
      <c r="AF129" s="76"/>
      <c r="AG129" s="76"/>
      <c r="AH129" s="76"/>
      <c r="AI129" s="76"/>
      <c r="AJ129" s="76"/>
      <c r="AK129" s="76"/>
      <c r="AL129" s="76"/>
      <c r="AM129" s="87"/>
      <c r="AP129" s="86"/>
      <c r="AQ129" s="76"/>
      <c r="AR129" s="76"/>
      <c r="AS129" s="76"/>
      <c r="AT129" s="76"/>
      <c r="AU129" s="76"/>
      <c r="AV129" s="76"/>
      <c r="AW129" s="76"/>
      <c r="AX129" s="76"/>
      <c r="AY129" s="76"/>
      <c r="AZ129" s="87"/>
      <c r="BC129" s="86"/>
      <c r="BD129" s="76"/>
      <c r="BE129" s="76"/>
      <c r="BF129" s="76"/>
      <c r="BG129" s="76"/>
      <c r="BH129" s="76"/>
      <c r="BI129" s="76"/>
      <c r="BJ129" s="76"/>
      <c r="BK129" s="76"/>
      <c r="BL129" s="76"/>
      <c r="BM129" s="87"/>
    </row>
    <row r="130" spans="1:66" s="3" customFormat="1" ht="9" customHeight="1" x14ac:dyDescent="0.25">
      <c r="C130" s="91"/>
      <c r="D130" s="92"/>
      <c r="E130" s="92"/>
      <c r="F130" s="92"/>
      <c r="G130" s="92"/>
      <c r="H130" s="92"/>
      <c r="I130" s="92"/>
      <c r="J130" s="92"/>
      <c r="K130" s="92"/>
      <c r="L130" s="92"/>
      <c r="M130" s="93"/>
      <c r="N130" s="46"/>
      <c r="P130" s="91"/>
      <c r="Q130" s="92"/>
      <c r="R130" s="92"/>
      <c r="S130" s="92"/>
      <c r="T130" s="92"/>
      <c r="U130" s="92"/>
      <c r="V130" s="92"/>
      <c r="W130" s="92"/>
      <c r="X130" s="92"/>
      <c r="Y130" s="92"/>
      <c r="Z130" s="93"/>
      <c r="AC130" s="86"/>
      <c r="AD130" s="76"/>
      <c r="AE130" s="76"/>
      <c r="AF130" s="76"/>
      <c r="AG130" s="76"/>
      <c r="AH130" s="76"/>
      <c r="AI130" s="76"/>
      <c r="AJ130" s="76"/>
      <c r="AK130" s="76"/>
      <c r="AL130" s="76"/>
      <c r="AM130" s="87"/>
      <c r="AP130" s="86"/>
      <c r="AQ130" s="76"/>
      <c r="AR130" s="76"/>
      <c r="AS130" s="76"/>
      <c r="AT130" s="76"/>
      <c r="AU130" s="76"/>
      <c r="AV130" s="76"/>
      <c r="AW130" s="76"/>
      <c r="AX130" s="76"/>
      <c r="AY130" s="76"/>
      <c r="AZ130" s="87"/>
      <c r="BC130" s="86"/>
      <c r="BD130" s="76"/>
      <c r="BE130" s="76"/>
      <c r="BF130" s="76"/>
      <c r="BG130" s="76"/>
      <c r="BH130" s="76"/>
      <c r="BI130" s="76"/>
      <c r="BJ130" s="76"/>
      <c r="BK130" s="76"/>
      <c r="BL130" s="76"/>
      <c r="BM130" s="87"/>
    </row>
    <row r="131" spans="1:66" s="3" customFormat="1" ht="7.15" customHeight="1" x14ac:dyDescent="0.25">
      <c r="C131" s="86" t="s">
        <v>39</v>
      </c>
      <c r="D131" s="76"/>
      <c r="E131" s="76"/>
      <c r="F131" s="76"/>
      <c r="G131" s="76"/>
      <c r="H131" s="76"/>
      <c r="I131" s="76"/>
      <c r="J131" s="76"/>
      <c r="K131" s="76"/>
      <c r="L131" s="76"/>
      <c r="M131" s="87"/>
      <c r="N131" s="46"/>
      <c r="P131" s="86" t="s">
        <v>39</v>
      </c>
      <c r="Q131" s="76"/>
      <c r="R131" s="76"/>
      <c r="S131" s="76"/>
      <c r="T131" s="76"/>
      <c r="U131" s="76"/>
      <c r="V131" s="76"/>
      <c r="W131" s="76"/>
      <c r="X131" s="76"/>
      <c r="Y131" s="76"/>
      <c r="Z131" s="87"/>
      <c r="AC131" s="91" t="s">
        <v>40</v>
      </c>
      <c r="AD131" s="92"/>
      <c r="AE131" s="92"/>
      <c r="AF131" s="92"/>
      <c r="AG131" s="92"/>
      <c r="AH131" s="92"/>
      <c r="AI131" s="92"/>
      <c r="AJ131" s="92"/>
      <c r="AK131" s="92"/>
      <c r="AL131" s="92"/>
      <c r="AM131" s="93"/>
      <c r="AP131" s="91" t="s">
        <v>41</v>
      </c>
      <c r="AQ131" s="92"/>
      <c r="AR131" s="92"/>
      <c r="AS131" s="92"/>
      <c r="AT131" s="92"/>
      <c r="AU131" s="92"/>
      <c r="AV131" s="92"/>
      <c r="AW131" s="92"/>
      <c r="AX131" s="92"/>
      <c r="AY131" s="92"/>
      <c r="AZ131" s="93"/>
      <c r="BC131" s="91" t="s">
        <v>238</v>
      </c>
      <c r="BD131" s="92"/>
      <c r="BE131" s="92"/>
      <c r="BF131" s="92"/>
      <c r="BG131" s="92"/>
      <c r="BH131" s="92"/>
      <c r="BI131" s="92"/>
      <c r="BJ131" s="92"/>
      <c r="BK131" s="92"/>
      <c r="BL131" s="92"/>
      <c r="BM131" s="93"/>
    </row>
    <row r="132" spans="1:66" s="3" customFormat="1" ht="7.15" customHeight="1" x14ac:dyDescent="0.25">
      <c r="C132" s="88"/>
      <c r="D132" s="89"/>
      <c r="E132" s="89"/>
      <c r="F132" s="89"/>
      <c r="G132" s="89"/>
      <c r="H132" s="89"/>
      <c r="I132" s="89"/>
      <c r="J132" s="89"/>
      <c r="K132" s="89"/>
      <c r="L132" s="89"/>
      <c r="M132" s="90"/>
      <c r="N132" s="46"/>
      <c r="P132" s="88"/>
      <c r="Q132" s="89"/>
      <c r="R132" s="89"/>
      <c r="S132" s="89"/>
      <c r="T132" s="89"/>
      <c r="U132" s="89"/>
      <c r="V132" s="89"/>
      <c r="W132" s="89"/>
      <c r="X132" s="89"/>
      <c r="Y132" s="89"/>
      <c r="Z132" s="90"/>
      <c r="AC132" s="94"/>
      <c r="AD132" s="95"/>
      <c r="AE132" s="95"/>
      <c r="AF132" s="95"/>
      <c r="AG132" s="95"/>
      <c r="AH132" s="95"/>
      <c r="AI132" s="95"/>
      <c r="AJ132" s="95"/>
      <c r="AK132" s="95"/>
      <c r="AL132" s="95"/>
      <c r="AM132" s="96"/>
      <c r="AP132" s="94"/>
      <c r="AQ132" s="95"/>
      <c r="AR132" s="95"/>
      <c r="AS132" s="95"/>
      <c r="AT132" s="95"/>
      <c r="AU132" s="95"/>
      <c r="AV132" s="95"/>
      <c r="AW132" s="95"/>
      <c r="AX132" s="95"/>
      <c r="AY132" s="95"/>
      <c r="AZ132" s="96"/>
      <c r="BC132" s="94"/>
      <c r="BD132" s="95"/>
      <c r="BE132" s="95"/>
      <c r="BF132" s="95"/>
      <c r="BG132" s="95"/>
      <c r="BH132" s="95"/>
      <c r="BI132" s="95"/>
      <c r="BJ132" s="95"/>
      <c r="BK132" s="95"/>
      <c r="BL132" s="95"/>
      <c r="BM132" s="96"/>
    </row>
    <row r="133" spans="1:66" s="3" customFormat="1" ht="7.15" customHeight="1" x14ac:dyDescent="0.25">
      <c r="C133" s="97" t="s">
        <v>42</v>
      </c>
      <c r="D133" s="98"/>
      <c r="E133" s="98"/>
      <c r="F133" s="98"/>
      <c r="G133" s="98"/>
      <c r="H133" s="98"/>
      <c r="I133" s="98"/>
      <c r="J133" s="98"/>
      <c r="K133" s="98"/>
      <c r="L133" s="98"/>
      <c r="M133" s="99"/>
      <c r="N133" s="49"/>
      <c r="P133" s="97" t="s">
        <v>43</v>
      </c>
      <c r="Q133" s="98"/>
      <c r="R133" s="98"/>
      <c r="S133" s="98"/>
      <c r="T133" s="98"/>
      <c r="U133" s="98"/>
      <c r="V133" s="98"/>
      <c r="W133" s="98"/>
      <c r="X133" s="98"/>
      <c r="Y133" s="98"/>
      <c r="Z133" s="99"/>
      <c r="AC133" s="97" t="s">
        <v>44</v>
      </c>
      <c r="AD133" s="98"/>
      <c r="AE133" s="98"/>
      <c r="AF133" s="98"/>
      <c r="AG133" s="98"/>
      <c r="AH133" s="98"/>
      <c r="AI133" s="98"/>
      <c r="AJ133" s="98"/>
      <c r="AK133" s="98"/>
      <c r="AL133" s="98"/>
      <c r="AM133" s="99"/>
      <c r="AP133" s="97" t="s">
        <v>44</v>
      </c>
      <c r="AQ133" s="98"/>
      <c r="AR133" s="98"/>
      <c r="AS133" s="98"/>
      <c r="AT133" s="98"/>
      <c r="AU133" s="98"/>
      <c r="AV133" s="98"/>
      <c r="AW133" s="98"/>
      <c r="AX133" s="98"/>
      <c r="AY133" s="98"/>
      <c r="AZ133" s="99"/>
      <c r="BC133" s="97" t="s">
        <v>44</v>
      </c>
      <c r="BD133" s="98"/>
      <c r="BE133" s="98"/>
      <c r="BF133" s="98"/>
      <c r="BG133" s="98"/>
      <c r="BH133" s="98"/>
      <c r="BI133" s="98"/>
      <c r="BJ133" s="98"/>
      <c r="BK133" s="98"/>
      <c r="BL133" s="98"/>
      <c r="BM133" s="99"/>
    </row>
    <row r="134" spans="1:66" s="3" customFormat="1" ht="7.15" customHeight="1" x14ac:dyDescent="0.25">
      <c r="C134" s="100"/>
      <c r="D134" s="101"/>
      <c r="E134" s="101"/>
      <c r="F134" s="101"/>
      <c r="G134" s="101"/>
      <c r="H134" s="101"/>
      <c r="I134" s="101"/>
      <c r="J134" s="101"/>
      <c r="K134" s="101"/>
      <c r="L134" s="101"/>
      <c r="M134" s="102"/>
      <c r="N134" s="49"/>
      <c r="P134" s="100"/>
      <c r="Q134" s="101"/>
      <c r="R134" s="101"/>
      <c r="S134" s="101"/>
      <c r="T134" s="101"/>
      <c r="U134" s="101"/>
      <c r="V134" s="101"/>
      <c r="W134" s="101"/>
      <c r="X134" s="101"/>
      <c r="Y134" s="101"/>
      <c r="Z134" s="102"/>
      <c r="AC134" s="100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2"/>
      <c r="AP134" s="100"/>
      <c r="AQ134" s="101"/>
      <c r="AR134" s="101"/>
      <c r="AS134" s="101"/>
      <c r="AT134" s="101"/>
      <c r="AU134" s="101"/>
      <c r="AV134" s="101"/>
      <c r="AW134" s="101"/>
      <c r="AX134" s="101"/>
      <c r="AY134" s="101"/>
      <c r="AZ134" s="102"/>
      <c r="BC134" s="100"/>
      <c r="BD134" s="101"/>
      <c r="BE134" s="101"/>
      <c r="BF134" s="101"/>
      <c r="BG134" s="101"/>
      <c r="BH134" s="101"/>
      <c r="BI134" s="101"/>
      <c r="BJ134" s="101"/>
      <c r="BK134" s="101"/>
      <c r="BL134" s="101"/>
      <c r="BM134" s="102"/>
    </row>
    <row r="135" spans="1:66" s="3" customFormat="1" ht="7.15" customHeight="1" x14ac:dyDescent="0.25">
      <c r="C135" s="100" t="s">
        <v>45</v>
      </c>
      <c r="D135" s="101"/>
      <c r="E135" s="101"/>
      <c r="F135" s="101"/>
      <c r="G135" s="101"/>
      <c r="H135" s="101"/>
      <c r="I135" s="101"/>
      <c r="J135" s="101"/>
      <c r="K135" s="101"/>
      <c r="L135" s="101"/>
      <c r="M135" s="102"/>
      <c r="N135" s="49"/>
      <c r="P135" s="100" t="s">
        <v>45</v>
      </c>
      <c r="Q135" s="101"/>
      <c r="R135" s="101"/>
      <c r="S135" s="101"/>
      <c r="T135" s="101"/>
      <c r="U135" s="101"/>
      <c r="V135" s="101"/>
      <c r="W135" s="101"/>
      <c r="X135" s="101"/>
      <c r="Y135" s="101"/>
      <c r="Z135" s="102"/>
      <c r="AC135" s="100" t="s">
        <v>45</v>
      </c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2"/>
      <c r="AP135" s="100" t="s">
        <v>45</v>
      </c>
      <c r="AQ135" s="101"/>
      <c r="AR135" s="101"/>
      <c r="AS135" s="101"/>
      <c r="AT135" s="101"/>
      <c r="AU135" s="101"/>
      <c r="AV135" s="101"/>
      <c r="AW135" s="101"/>
      <c r="AX135" s="101"/>
      <c r="AY135" s="101"/>
      <c r="AZ135" s="102"/>
      <c r="BC135" s="100" t="s">
        <v>45</v>
      </c>
      <c r="BD135" s="101"/>
      <c r="BE135" s="101"/>
      <c r="BF135" s="101"/>
      <c r="BG135" s="101"/>
      <c r="BH135" s="101"/>
      <c r="BI135" s="101"/>
      <c r="BJ135" s="101"/>
      <c r="BK135" s="101"/>
      <c r="BL135" s="101"/>
      <c r="BM135" s="102"/>
    </row>
    <row r="136" spans="1:66" s="3" customFormat="1" ht="7.15" customHeight="1" x14ac:dyDescent="0.25">
      <c r="C136" s="103"/>
      <c r="D136" s="104"/>
      <c r="E136" s="104"/>
      <c r="F136" s="104"/>
      <c r="G136" s="104"/>
      <c r="H136" s="104"/>
      <c r="I136" s="104"/>
      <c r="J136" s="104"/>
      <c r="K136" s="104"/>
      <c r="L136" s="104"/>
      <c r="M136" s="105"/>
      <c r="N136" s="49"/>
      <c r="P136" s="103"/>
      <c r="Q136" s="104"/>
      <c r="R136" s="104"/>
      <c r="S136" s="104"/>
      <c r="T136" s="104"/>
      <c r="U136" s="104"/>
      <c r="V136" s="104"/>
      <c r="W136" s="104"/>
      <c r="X136" s="104"/>
      <c r="Y136" s="104"/>
      <c r="Z136" s="105"/>
      <c r="AC136" s="103"/>
      <c r="AD136" s="104"/>
      <c r="AE136" s="104"/>
      <c r="AF136" s="104"/>
      <c r="AG136" s="104"/>
      <c r="AH136" s="104"/>
      <c r="AI136" s="104"/>
      <c r="AJ136" s="104"/>
      <c r="AK136" s="104"/>
      <c r="AL136" s="104"/>
      <c r="AM136" s="105"/>
      <c r="AP136" s="103"/>
      <c r="AQ136" s="104"/>
      <c r="AR136" s="104"/>
      <c r="AS136" s="104"/>
      <c r="AT136" s="104"/>
      <c r="AU136" s="104"/>
      <c r="AV136" s="104"/>
      <c r="AW136" s="104"/>
      <c r="AX136" s="104"/>
      <c r="AY136" s="104"/>
      <c r="AZ136" s="105"/>
      <c r="BC136" s="103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5"/>
    </row>
    <row r="137" spans="1:66" s="3" customFormat="1" ht="7.15" customHeight="1" x14ac:dyDescent="0.25"/>
    <row r="138" spans="1:66" s="3" customFormat="1" ht="7.15" customHeight="1" x14ac:dyDescent="0.25">
      <c r="C138" s="85" t="s">
        <v>46</v>
      </c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</row>
    <row r="139" spans="1:66" s="31" customFormat="1" ht="21.75" customHeight="1" x14ac:dyDescent="0.25"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</row>
    <row r="140" spans="1:66" s="3" customFormat="1" ht="7.15" customHeight="1" x14ac:dyDescent="0.25"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</row>
    <row r="141" spans="1:66" x14ac:dyDescent="0.25"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BI141" s="3" t="s">
        <v>237</v>
      </c>
    </row>
    <row r="142" spans="1:66" x14ac:dyDescent="0.25"/>
    <row r="143" spans="1:66" x14ac:dyDescent="0.25">
      <c r="BN143" s="33"/>
    </row>
    <row r="144" spans="1:66" hidden="1" x14ac:dyDescent="0.25">
      <c r="A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N144" s="33"/>
    </row>
    <row r="145" spans="1:66" hidden="1" x14ac:dyDescent="0.25">
      <c r="A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N145" s="25"/>
    </row>
    <row r="146" spans="1:66" hidden="1" x14ac:dyDescent="0.25">
      <c r="BM146" s="25"/>
    </row>
    <row r="152" spans="1:66" hidden="1" x14ac:dyDescent="0.25">
      <c r="C152" s="34"/>
      <c r="R152" s="34" t="s">
        <v>47</v>
      </c>
      <c r="AD152" s="34" t="s">
        <v>48</v>
      </c>
      <c r="AE152" s="34"/>
      <c r="AF152" s="34"/>
      <c r="AG152" s="34"/>
      <c r="AH152" s="34"/>
      <c r="AI152" s="34"/>
      <c r="AJ152" s="34"/>
      <c r="AK152" s="34"/>
      <c r="AL152" s="34"/>
      <c r="AM152" s="34" t="s">
        <v>49</v>
      </c>
    </row>
    <row r="153" spans="1:66" hidden="1" x14ac:dyDescent="0.25">
      <c r="C153" s="34" t="s">
        <v>50</v>
      </c>
      <c r="R153" s="3" t="s">
        <v>51</v>
      </c>
      <c r="AD153" s="3" t="s">
        <v>52</v>
      </c>
      <c r="AM153" s="3" t="s">
        <v>51</v>
      </c>
    </row>
    <row r="154" spans="1:66" hidden="1" x14ac:dyDescent="0.25">
      <c r="C154" s="34" t="s">
        <v>53</v>
      </c>
      <c r="R154" s="3" t="s">
        <v>54</v>
      </c>
      <c r="AD154" s="3" t="s">
        <v>55</v>
      </c>
      <c r="AM154" s="3" t="s">
        <v>51</v>
      </c>
    </row>
    <row r="155" spans="1:66" hidden="1" x14ac:dyDescent="0.25">
      <c r="C155" s="34" t="s">
        <v>10</v>
      </c>
      <c r="R155" s="3" t="s">
        <v>56</v>
      </c>
      <c r="AD155" s="3" t="s">
        <v>57</v>
      </c>
      <c r="AM155" s="3" t="s">
        <v>58</v>
      </c>
    </row>
    <row r="156" spans="1:66" hidden="1" x14ac:dyDescent="0.25">
      <c r="C156" s="34" t="s">
        <v>59</v>
      </c>
      <c r="R156" s="3" t="s">
        <v>60</v>
      </c>
      <c r="AD156" s="3" t="s">
        <v>61</v>
      </c>
      <c r="AM156" s="3" t="s">
        <v>54</v>
      </c>
    </row>
    <row r="157" spans="1:66" hidden="1" x14ac:dyDescent="0.25">
      <c r="C157" s="34"/>
      <c r="R157" s="3" t="s">
        <v>58</v>
      </c>
      <c r="AD157" s="3" t="s">
        <v>62</v>
      </c>
      <c r="AM157" s="3" t="s">
        <v>60</v>
      </c>
    </row>
    <row r="158" spans="1:66" hidden="1" x14ac:dyDescent="0.25">
      <c r="C158" s="34" t="s">
        <v>63</v>
      </c>
      <c r="R158" s="3" t="s">
        <v>64</v>
      </c>
      <c r="AD158" s="3" t="s">
        <v>65</v>
      </c>
      <c r="AM158" s="3" t="s">
        <v>51</v>
      </c>
    </row>
    <row r="159" spans="1:66" hidden="1" x14ac:dyDescent="0.25">
      <c r="C159" s="34" t="s">
        <v>66</v>
      </c>
      <c r="R159" s="3" t="s">
        <v>67</v>
      </c>
      <c r="AD159" s="3" t="s">
        <v>68</v>
      </c>
      <c r="AM159" s="3" t="s">
        <v>51</v>
      </c>
    </row>
    <row r="160" spans="1:66" hidden="1" x14ac:dyDescent="0.25">
      <c r="C160" s="34" t="s">
        <v>69</v>
      </c>
      <c r="R160" s="3" t="s">
        <v>59</v>
      </c>
      <c r="AD160" s="3" t="s">
        <v>70</v>
      </c>
      <c r="AM160" s="3" t="s">
        <v>51</v>
      </c>
    </row>
    <row r="161" spans="3:39" hidden="1" x14ac:dyDescent="0.25">
      <c r="C161" s="34" t="s">
        <v>59</v>
      </c>
      <c r="AD161" s="3" t="s">
        <v>71</v>
      </c>
      <c r="AM161" s="3" t="s">
        <v>64</v>
      </c>
    </row>
    <row r="162" spans="3:39" hidden="1" x14ac:dyDescent="0.25">
      <c r="C162" s="34"/>
      <c r="AD162" s="3" t="s">
        <v>72</v>
      </c>
      <c r="AM162" s="3" t="s">
        <v>64</v>
      </c>
    </row>
    <row r="163" spans="3:39" hidden="1" x14ac:dyDescent="0.25">
      <c r="C163" s="34"/>
      <c r="R163" s="34" t="s">
        <v>73</v>
      </c>
      <c r="AD163" s="3" t="s">
        <v>74</v>
      </c>
      <c r="AM163" s="3" t="s">
        <v>64</v>
      </c>
    </row>
    <row r="164" spans="3:39" hidden="1" x14ac:dyDescent="0.25">
      <c r="C164" s="34"/>
      <c r="R164" s="35" t="s">
        <v>75</v>
      </c>
      <c r="AD164" s="3" t="s">
        <v>76</v>
      </c>
      <c r="AM164" s="3" t="s">
        <v>64</v>
      </c>
    </row>
    <row r="165" spans="3:39" hidden="1" x14ac:dyDescent="0.25">
      <c r="C165" s="34"/>
      <c r="R165" s="35" t="s">
        <v>31</v>
      </c>
      <c r="AD165" s="3" t="s">
        <v>77</v>
      </c>
      <c r="AM165" s="3" t="s">
        <v>54</v>
      </c>
    </row>
    <row r="166" spans="3:39" hidden="1" x14ac:dyDescent="0.25">
      <c r="C166" s="34" t="s">
        <v>78</v>
      </c>
      <c r="R166" s="35" t="s">
        <v>79</v>
      </c>
      <c r="AD166" s="3" t="s">
        <v>80</v>
      </c>
      <c r="AM166" s="3" t="s">
        <v>60</v>
      </c>
    </row>
    <row r="167" spans="3:39" hidden="1" x14ac:dyDescent="0.25">
      <c r="C167" s="34" t="s">
        <v>81</v>
      </c>
      <c r="R167" s="35" t="s">
        <v>82</v>
      </c>
      <c r="AD167" s="3" t="s">
        <v>83</v>
      </c>
      <c r="AM167" s="3" t="s">
        <v>58</v>
      </c>
    </row>
    <row r="168" spans="3:39" hidden="1" x14ac:dyDescent="0.25">
      <c r="C168" s="34" t="s">
        <v>84</v>
      </c>
      <c r="R168" s="35" t="s">
        <v>59</v>
      </c>
      <c r="AD168" s="3" t="s">
        <v>85</v>
      </c>
      <c r="AM168" s="3" t="s">
        <v>58</v>
      </c>
    </row>
    <row r="169" spans="3:39" hidden="1" x14ac:dyDescent="0.25">
      <c r="C169" s="34" t="s">
        <v>86</v>
      </c>
      <c r="AD169" s="3" t="s">
        <v>87</v>
      </c>
      <c r="AM169" s="3" t="s">
        <v>54</v>
      </c>
    </row>
    <row r="170" spans="3:39" hidden="1" x14ac:dyDescent="0.25">
      <c r="C170" s="34"/>
      <c r="AD170" s="3" t="s">
        <v>88</v>
      </c>
      <c r="AM170" s="3" t="s">
        <v>54</v>
      </c>
    </row>
    <row r="171" spans="3:39" hidden="1" x14ac:dyDescent="0.25">
      <c r="C171" s="34" t="s">
        <v>89</v>
      </c>
      <c r="AD171" s="3" t="s">
        <v>90</v>
      </c>
      <c r="AM171" s="3" t="s">
        <v>60</v>
      </c>
    </row>
    <row r="172" spans="3:39" hidden="1" x14ac:dyDescent="0.25">
      <c r="C172" s="34" t="s">
        <v>91</v>
      </c>
      <c r="AD172" s="3" t="s">
        <v>92</v>
      </c>
      <c r="AM172" s="3" t="s">
        <v>60</v>
      </c>
    </row>
    <row r="173" spans="3:39" hidden="1" x14ac:dyDescent="0.25">
      <c r="C173" s="34" t="s">
        <v>59</v>
      </c>
      <c r="AD173" s="3" t="s">
        <v>38</v>
      </c>
      <c r="AM173" s="3" t="s">
        <v>67</v>
      </c>
    </row>
    <row r="174" spans="3:39" hidden="1" x14ac:dyDescent="0.25">
      <c r="C174" s="34"/>
      <c r="AD174" s="3" t="s">
        <v>93</v>
      </c>
      <c r="AM174" s="3" t="s">
        <v>54</v>
      </c>
    </row>
    <row r="175" spans="3:39" hidden="1" x14ac:dyDescent="0.25">
      <c r="C175" s="34"/>
      <c r="AD175" s="3" t="s">
        <v>94</v>
      </c>
      <c r="AM175" s="3" t="s">
        <v>60</v>
      </c>
    </row>
    <row r="176" spans="3:39" hidden="1" x14ac:dyDescent="0.25">
      <c r="C176" s="34" t="s">
        <v>95</v>
      </c>
      <c r="AD176" s="3" t="s">
        <v>96</v>
      </c>
      <c r="AM176" s="3" t="s">
        <v>60</v>
      </c>
    </row>
    <row r="177" spans="3:39" hidden="1" x14ac:dyDescent="0.25">
      <c r="C177" s="34" t="s">
        <v>97</v>
      </c>
      <c r="AD177" s="3" t="s">
        <v>98</v>
      </c>
      <c r="AM177" s="3" t="s">
        <v>51</v>
      </c>
    </row>
    <row r="178" spans="3:39" hidden="1" x14ac:dyDescent="0.25">
      <c r="C178" s="34" t="s">
        <v>59</v>
      </c>
      <c r="AD178" s="3" t="s">
        <v>99</v>
      </c>
      <c r="AM178" s="3" t="s">
        <v>51</v>
      </c>
    </row>
    <row r="179" spans="3:39" hidden="1" x14ac:dyDescent="0.25">
      <c r="C179" s="34" t="s">
        <v>84</v>
      </c>
      <c r="AD179" s="3" t="s">
        <v>37</v>
      </c>
      <c r="AM179" s="3" t="s">
        <v>67</v>
      </c>
    </row>
    <row r="180" spans="3:39" hidden="1" x14ac:dyDescent="0.25">
      <c r="C180" s="34"/>
      <c r="AD180" s="3" t="s">
        <v>59</v>
      </c>
    </row>
    <row r="181" spans="3:39" hidden="1" x14ac:dyDescent="0.25">
      <c r="C181" s="34"/>
    </row>
    <row r="182" spans="3:39" hidden="1" x14ac:dyDescent="0.25">
      <c r="C182" s="34" t="s">
        <v>100</v>
      </c>
    </row>
    <row r="183" spans="3:39" hidden="1" x14ac:dyDescent="0.25">
      <c r="C183" s="34" t="s">
        <v>101</v>
      </c>
    </row>
    <row r="184" spans="3:39" hidden="1" x14ac:dyDescent="0.25">
      <c r="C184" s="34" t="s">
        <v>102</v>
      </c>
    </row>
    <row r="185" spans="3:39" hidden="1" x14ac:dyDescent="0.25">
      <c r="C185" s="34" t="s">
        <v>103</v>
      </c>
    </row>
    <row r="186" spans="3:39" hidden="1" x14ac:dyDescent="0.25">
      <c r="C186" s="34" t="s">
        <v>84</v>
      </c>
    </row>
    <row r="187" spans="3:39" hidden="1" x14ac:dyDescent="0.25">
      <c r="C187" s="9"/>
    </row>
    <row r="188" spans="3:39" hidden="1" x14ac:dyDescent="0.25">
      <c r="C188" s="9">
        <v>1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76">
        <v>25</v>
      </c>
      <c r="AD188" s="76"/>
      <c r="AE188" s="76"/>
      <c r="AF188" s="9"/>
      <c r="AG188" s="9"/>
      <c r="AH188" s="76">
        <v>30</v>
      </c>
      <c r="AI188" s="76"/>
      <c r="AJ188" s="9"/>
      <c r="AM188" s="3">
        <v>35</v>
      </c>
    </row>
    <row r="189" spans="3:39" hidden="1" x14ac:dyDescent="0.25">
      <c r="C189" s="36" t="s">
        <v>104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 t="s">
        <v>105</v>
      </c>
      <c r="AD189" s="9"/>
      <c r="AE189" s="9"/>
      <c r="AF189" s="9"/>
      <c r="AG189" s="9"/>
      <c r="AH189" s="37">
        <v>494101</v>
      </c>
      <c r="AI189" s="9"/>
      <c r="AJ189" s="9"/>
      <c r="AM189" s="3" t="s">
        <v>106</v>
      </c>
    </row>
    <row r="190" spans="3:39" hidden="1" x14ac:dyDescent="0.25">
      <c r="C190" s="36" t="s">
        <v>107</v>
      </c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8" t="s">
        <v>108</v>
      </c>
      <c r="AD190" s="9"/>
      <c r="AE190" s="9"/>
      <c r="AF190" s="9"/>
      <c r="AG190" s="9"/>
      <c r="AH190" s="38">
        <v>470401</v>
      </c>
      <c r="AI190" s="9"/>
      <c r="AJ190" s="9"/>
      <c r="AM190" s="3" t="s">
        <v>10</v>
      </c>
    </row>
    <row r="191" spans="3:39" hidden="1" x14ac:dyDescent="0.25">
      <c r="C191" s="36" t="s">
        <v>109</v>
      </c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8" t="s">
        <v>110</v>
      </c>
      <c r="AD191" s="9"/>
      <c r="AE191" s="9"/>
      <c r="AF191" s="9"/>
      <c r="AG191" s="9"/>
      <c r="AH191" s="38">
        <v>426011</v>
      </c>
      <c r="AI191" s="9"/>
      <c r="AJ191" s="9"/>
      <c r="AM191" s="3" t="s">
        <v>53</v>
      </c>
    </row>
    <row r="192" spans="3:39" hidden="1" x14ac:dyDescent="0.25">
      <c r="C192" s="36" t="s">
        <v>111</v>
      </c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8" t="s">
        <v>108</v>
      </c>
      <c r="AD192" s="9"/>
      <c r="AE192" s="9"/>
      <c r="AF192" s="9"/>
      <c r="AG192" s="9"/>
      <c r="AH192" s="38">
        <v>470401</v>
      </c>
      <c r="AI192" s="9"/>
      <c r="AJ192" s="9"/>
      <c r="AM192" s="3" t="s">
        <v>10</v>
      </c>
    </row>
    <row r="193" spans="3:39" hidden="1" x14ac:dyDescent="0.25">
      <c r="C193" s="36" t="s">
        <v>112</v>
      </c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8" t="s">
        <v>113</v>
      </c>
      <c r="AD193" s="9"/>
      <c r="AE193" s="9"/>
      <c r="AF193" s="9"/>
      <c r="AG193" s="9"/>
      <c r="AH193" s="38">
        <v>470001</v>
      </c>
      <c r="AI193" s="9"/>
      <c r="AJ193" s="9"/>
      <c r="AM193" s="3" t="s">
        <v>53</v>
      </c>
    </row>
    <row r="194" spans="3:39" hidden="1" x14ac:dyDescent="0.25">
      <c r="C194" s="36" t="s">
        <v>114</v>
      </c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8" t="s">
        <v>115</v>
      </c>
      <c r="AD194" s="9"/>
      <c r="AE194" s="9"/>
      <c r="AF194" s="9"/>
      <c r="AG194" s="9"/>
      <c r="AH194" s="38">
        <v>425103</v>
      </c>
      <c r="AI194" s="9"/>
      <c r="AJ194" s="9"/>
      <c r="AM194" s="3" t="s">
        <v>10</v>
      </c>
    </row>
    <row r="195" spans="3:39" hidden="1" x14ac:dyDescent="0.25">
      <c r="C195" s="36" t="s">
        <v>116</v>
      </c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8" t="s">
        <v>115</v>
      </c>
      <c r="AD195" s="9"/>
      <c r="AE195" s="9"/>
      <c r="AF195" s="9"/>
      <c r="AG195" s="9"/>
      <c r="AH195" s="38">
        <v>425103</v>
      </c>
      <c r="AI195" s="9"/>
      <c r="AK195" s="9"/>
      <c r="AM195" s="3" t="s">
        <v>10</v>
      </c>
    </row>
    <row r="196" spans="3:39" hidden="1" x14ac:dyDescent="0.25">
      <c r="C196" s="36" t="s">
        <v>117</v>
      </c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8" t="s">
        <v>118</v>
      </c>
      <c r="AD196" s="9"/>
      <c r="AE196" s="9"/>
      <c r="AF196" s="9"/>
      <c r="AG196" s="9"/>
      <c r="AH196" s="38">
        <v>431001</v>
      </c>
      <c r="AI196" s="9"/>
      <c r="AK196" s="9"/>
      <c r="AM196" s="3" t="s">
        <v>10</v>
      </c>
    </row>
    <row r="197" spans="3:39" hidden="1" x14ac:dyDescent="0.25">
      <c r="C197" s="36" t="s">
        <v>119</v>
      </c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8" t="s">
        <v>120</v>
      </c>
      <c r="AD197" s="9"/>
      <c r="AE197" s="9"/>
      <c r="AF197" s="9"/>
      <c r="AG197" s="9"/>
      <c r="AH197" s="38">
        <v>493001</v>
      </c>
      <c r="AI197" s="9"/>
      <c r="AJ197" s="9"/>
      <c r="AM197" s="3" t="s">
        <v>106</v>
      </c>
    </row>
    <row r="198" spans="3:39" hidden="1" x14ac:dyDescent="0.25">
      <c r="C198" s="36" t="s">
        <v>121</v>
      </c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8" t="s">
        <v>122</v>
      </c>
      <c r="AD198" s="9"/>
      <c r="AE198" s="9"/>
      <c r="AF198" s="9"/>
      <c r="AG198" s="9"/>
      <c r="AH198" s="38">
        <v>496102</v>
      </c>
      <c r="AI198" s="9"/>
      <c r="AJ198" s="9"/>
      <c r="AM198" s="3" t="s">
        <v>106</v>
      </c>
    </row>
    <row r="199" spans="3:39" hidden="1" x14ac:dyDescent="0.25">
      <c r="C199" s="36" t="s">
        <v>123</v>
      </c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8" t="s">
        <v>124</v>
      </c>
      <c r="AD199" s="9"/>
      <c r="AE199" s="9"/>
      <c r="AF199" s="9"/>
      <c r="AG199" s="9"/>
      <c r="AH199" s="38">
        <v>411001</v>
      </c>
      <c r="AI199" s="9"/>
      <c r="AJ199" s="9"/>
      <c r="AM199" s="3" t="s">
        <v>53</v>
      </c>
    </row>
    <row r="200" spans="3:39" hidden="1" x14ac:dyDescent="0.25">
      <c r="C200" s="36" t="s">
        <v>125</v>
      </c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8" t="s">
        <v>126</v>
      </c>
      <c r="AD200" s="9"/>
      <c r="AE200" s="9"/>
      <c r="AF200" s="9"/>
      <c r="AG200" s="9"/>
      <c r="AH200" s="38">
        <v>495003</v>
      </c>
      <c r="AI200" s="9"/>
      <c r="AK200" s="9"/>
      <c r="AM200" s="3" t="s">
        <v>106</v>
      </c>
    </row>
    <row r="201" spans="3:39" hidden="1" x14ac:dyDescent="0.25">
      <c r="C201" s="36" t="s">
        <v>127</v>
      </c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8" t="s">
        <v>128</v>
      </c>
      <c r="AD201" s="9"/>
      <c r="AE201" s="9"/>
      <c r="AF201" s="9"/>
      <c r="AG201" s="9"/>
      <c r="AH201" s="38">
        <v>460410</v>
      </c>
      <c r="AI201" s="9"/>
      <c r="AJ201" s="9"/>
      <c r="AM201" s="3" t="s">
        <v>10</v>
      </c>
    </row>
    <row r="202" spans="3:39" hidden="1" x14ac:dyDescent="0.25">
      <c r="C202" s="36" t="s">
        <v>129</v>
      </c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8" t="s">
        <v>130</v>
      </c>
      <c r="AD202" s="9"/>
      <c r="AE202" s="9"/>
      <c r="AF202" s="9"/>
      <c r="AG202" s="9"/>
      <c r="AH202" s="38">
        <v>411307</v>
      </c>
      <c r="AI202" s="9"/>
      <c r="AJ202" s="9"/>
      <c r="AM202" s="3" t="s">
        <v>53</v>
      </c>
    </row>
    <row r="203" spans="3:39" hidden="1" x14ac:dyDescent="0.25">
      <c r="C203" s="36" t="s">
        <v>131</v>
      </c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8" t="s">
        <v>105</v>
      </c>
      <c r="AD203" s="9"/>
      <c r="AE203" s="9"/>
      <c r="AF203" s="9"/>
      <c r="AG203" s="9"/>
      <c r="AH203" s="38">
        <v>494101</v>
      </c>
      <c r="AI203" s="9"/>
      <c r="AK203" s="9"/>
      <c r="AM203" s="3" t="s">
        <v>106</v>
      </c>
    </row>
    <row r="204" spans="3:39" hidden="1" x14ac:dyDescent="0.25">
      <c r="C204" s="36" t="s">
        <v>132</v>
      </c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8" t="s">
        <v>133</v>
      </c>
      <c r="AD204" s="9"/>
      <c r="AE204" s="9"/>
      <c r="AF204" s="9"/>
      <c r="AG204" s="9"/>
      <c r="AH204" s="38">
        <v>495012</v>
      </c>
      <c r="AI204" s="9"/>
      <c r="AJ204" s="9"/>
      <c r="AM204" s="3" t="s">
        <v>106</v>
      </c>
    </row>
    <row r="205" spans="3:39" hidden="1" x14ac:dyDescent="0.25">
      <c r="C205" s="36" t="s">
        <v>134</v>
      </c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8" t="s">
        <v>135</v>
      </c>
      <c r="AD205" s="9"/>
      <c r="AE205" s="9"/>
      <c r="AF205" s="9"/>
      <c r="AG205" s="9"/>
      <c r="AH205" s="38">
        <v>492201</v>
      </c>
      <c r="AI205" s="9"/>
      <c r="AJ205" s="9"/>
      <c r="AM205" s="3" t="s">
        <v>106</v>
      </c>
    </row>
    <row r="206" spans="3:39" hidden="1" x14ac:dyDescent="0.25">
      <c r="C206" s="36" t="s">
        <v>136</v>
      </c>
      <c r="D206" s="39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8" t="s">
        <v>137</v>
      </c>
      <c r="AD206" s="9"/>
      <c r="AE206" s="9"/>
      <c r="AF206" s="9"/>
      <c r="AG206" s="9"/>
      <c r="AH206" s="38">
        <v>413416</v>
      </c>
      <c r="AI206" s="9"/>
      <c r="AJ206" s="9"/>
      <c r="AM206" s="3" t="s">
        <v>53</v>
      </c>
    </row>
    <row r="207" spans="3:39" hidden="1" x14ac:dyDescent="0.25">
      <c r="C207" s="36" t="s">
        <v>138</v>
      </c>
      <c r="D207" s="39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8" t="s">
        <v>139</v>
      </c>
      <c r="AD207" s="9"/>
      <c r="AE207" s="9"/>
      <c r="AF207" s="9"/>
      <c r="AG207" s="9"/>
      <c r="AH207" s="38">
        <v>492101</v>
      </c>
      <c r="AI207" s="9"/>
      <c r="AK207" s="9"/>
      <c r="AM207" s="3" t="s">
        <v>106</v>
      </c>
    </row>
    <row r="208" spans="3:39" hidden="1" x14ac:dyDescent="0.25">
      <c r="C208" s="36" t="s">
        <v>140</v>
      </c>
      <c r="D208" s="39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8" t="s">
        <v>141</v>
      </c>
      <c r="AD208" s="9"/>
      <c r="AE208" s="9"/>
      <c r="AF208" s="9"/>
      <c r="AG208" s="9"/>
      <c r="AH208" s="38">
        <v>494301</v>
      </c>
      <c r="AI208" s="9"/>
      <c r="AJ208" s="9"/>
      <c r="AM208" s="3" t="s">
        <v>106</v>
      </c>
    </row>
    <row r="209" spans="3:39" hidden="1" x14ac:dyDescent="0.25">
      <c r="C209" s="36" t="s">
        <v>142</v>
      </c>
      <c r="D209" s="39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8" t="s">
        <v>143</v>
      </c>
      <c r="AD209" s="9"/>
      <c r="AE209" s="9"/>
      <c r="AF209" s="9"/>
      <c r="AG209" s="9"/>
      <c r="AH209" s="38">
        <v>497001</v>
      </c>
      <c r="AI209" s="9"/>
      <c r="AJ209" s="9"/>
      <c r="AM209" s="3" t="s">
        <v>106</v>
      </c>
    </row>
    <row r="210" spans="3:39" hidden="1" x14ac:dyDescent="0.25">
      <c r="C210" s="36" t="s">
        <v>144</v>
      </c>
      <c r="D210" s="39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8" t="s">
        <v>145</v>
      </c>
      <c r="AD210" s="9"/>
      <c r="AE210" s="9"/>
      <c r="AF210" s="9"/>
      <c r="AG210" s="9"/>
      <c r="AH210" s="38">
        <v>461401</v>
      </c>
      <c r="AI210" s="9"/>
      <c r="AJ210" s="9"/>
      <c r="AM210" s="3" t="s">
        <v>10</v>
      </c>
    </row>
    <row r="211" spans="3:39" hidden="1" x14ac:dyDescent="0.25">
      <c r="C211" s="36" t="s">
        <v>146</v>
      </c>
      <c r="D211" s="39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8" t="s">
        <v>147</v>
      </c>
      <c r="AD211" s="9"/>
      <c r="AE211" s="9"/>
      <c r="AF211" s="9"/>
      <c r="AG211" s="9"/>
      <c r="AH211" s="38">
        <v>421401</v>
      </c>
      <c r="AI211" s="9"/>
      <c r="AJ211" s="9"/>
      <c r="AM211" s="3" t="s">
        <v>10</v>
      </c>
    </row>
    <row r="212" spans="3:39" hidden="1" x14ac:dyDescent="0.25">
      <c r="C212" s="36" t="s">
        <v>148</v>
      </c>
      <c r="D212" s="39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8" t="s">
        <v>149</v>
      </c>
      <c r="AD212" s="9"/>
      <c r="AE212" s="9"/>
      <c r="AF212" s="9"/>
      <c r="AG212" s="9"/>
      <c r="AH212" s="38">
        <v>411401</v>
      </c>
      <c r="AI212" s="9"/>
      <c r="AK212" s="9"/>
      <c r="AM212" s="3" t="s">
        <v>10</v>
      </c>
    </row>
    <row r="213" spans="3:39" hidden="1" x14ac:dyDescent="0.25">
      <c r="C213" s="36" t="s">
        <v>150</v>
      </c>
      <c r="D213" s="39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8" t="s">
        <v>151</v>
      </c>
      <c r="AD213" s="9"/>
      <c r="AE213" s="9"/>
      <c r="AF213" s="9"/>
      <c r="AG213" s="9"/>
      <c r="AH213" s="38">
        <v>470402</v>
      </c>
      <c r="AI213" s="9"/>
      <c r="AJ213" s="9"/>
      <c r="AM213" s="3" t="s">
        <v>10</v>
      </c>
    </row>
    <row r="214" spans="3:39" hidden="1" x14ac:dyDescent="0.25">
      <c r="C214" s="36" t="s">
        <v>152</v>
      </c>
      <c r="D214" s="39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8" t="s">
        <v>153</v>
      </c>
      <c r="AD214" s="9"/>
      <c r="AE214" s="9"/>
      <c r="AF214" s="9"/>
      <c r="AG214" s="9"/>
      <c r="AH214" s="38">
        <v>411403</v>
      </c>
      <c r="AI214" s="9"/>
      <c r="AK214" s="9"/>
      <c r="AM214" s="3" t="s">
        <v>10</v>
      </c>
    </row>
    <row r="215" spans="3:39" hidden="1" x14ac:dyDescent="0.25">
      <c r="C215" s="36" t="s">
        <v>154</v>
      </c>
      <c r="D215" s="39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8" t="s">
        <v>155</v>
      </c>
      <c r="AD215" s="9"/>
      <c r="AE215" s="9"/>
      <c r="AF215" s="9"/>
      <c r="AG215" s="9"/>
      <c r="AH215" s="38">
        <v>426411</v>
      </c>
      <c r="AI215" s="9"/>
      <c r="AK215" s="9"/>
      <c r="AM215" s="3" t="s">
        <v>10</v>
      </c>
    </row>
    <row r="216" spans="3:39" hidden="1" x14ac:dyDescent="0.25">
      <c r="C216" s="36" t="s">
        <v>156</v>
      </c>
      <c r="D216" s="39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8" t="s">
        <v>157</v>
      </c>
      <c r="AD216" s="9"/>
      <c r="AE216" s="9"/>
      <c r="AF216" s="9"/>
      <c r="AG216" s="9"/>
      <c r="AH216" s="38">
        <v>411003</v>
      </c>
      <c r="AI216" s="9"/>
      <c r="AJ216" s="9"/>
      <c r="AM216" s="3" t="s">
        <v>10</v>
      </c>
    </row>
    <row r="217" spans="3:39" hidden="1" x14ac:dyDescent="0.25">
      <c r="C217" s="36" t="s">
        <v>158</v>
      </c>
      <c r="D217" s="39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8" t="s">
        <v>159</v>
      </c>
      <c r="AD217" s="9"/>
      <c r="AE217" s="9"/>
      <c r="AF217" s="9"/>
      <c r="AG217" s="9"/>
      <c r="AH217" s="38">
        <v>496101</v>
      </c>
      <c r="AI217" s="9"/>
      <c r="AJ217" s="9"/>
      <c r="AM217" s="3" t="s">
        <v>106</v>
      </c>
    </row>
    <row r="218" spans="3:39" hidden="1" x14ac:dyDescent="0.25">
      <c r="C218" s="36" t="s">
        <v>160</v>
      </c>
      <c r="D218" s="39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8" t="s">
        <v>145</v>
      </c>
      <c r="AD218" s="9"/>
      <c r="AE218" s="9"/>
      <c r="AF218" s="9"/>
      <c r="AG218" s="9"/>
      <c r="AH218" s="38">
        <v>461401</v>
      </c>
      <c r="AI218" s="9"/>
      <c r="AJ218" s="9"/>
      <c r="AM218" s="3" t="s">
        <v>10</v>
      </c>
    </row>
    <row r="219" spans="3:39" hidden="1" x14ac:dyDescent="0.25">
      <c r="C219" s="36" t="s">
        <v>161</v>
      </c>
      <c r="D219" s="39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8" t="s">
        <v>162</v>
      </c>
      <c r="AD219" s="9"/>
      <c r="AE219" s="9"/>
      <c r="AF219" s="9"/>
      <c r="AG219" s="9"/>
      <c r="AH219" s="38">
        <v>461101</v>
      </c>
      <c r="AI219" s="9"/>
      <c r="AK219" s="9"/>
      <c r="AM219" s="3" t="s">
        <v>53</v>
      </c>
    </row>
    <row r="220" spans="3:39" hidden="1" x14ac:dyDescent="0.25">
      <c r="C220" s="36" t="s">
        <v>163</v>
      </c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8" t="s">
        <v>164</v>
      </c>
      <c r="AD220" s="9"/>
      <c r="AE220" s="9"/>
      <c r="AF220" s="9"/>
      <c r="AG220" s="9"/>
      <c r="AH220" s="38">
        <v>411406</v>
      </c>
      <c r="AI220" s="9"/>
      <c r="AJ220" s="9"/>
      <c r="AM220" s="3" t="s">
        <v>53</v>
      </c>
    </row>
    <row r="221" spans="3:39" hidden="1" x14ac:dyDescent="0.25">
      <c r="C221" s="36" t="s">
        <v>165</v>
      </c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8" t="s">
        <v>155</v>
      </c>
      <c r="AD221" s="9"/>
      <c r="AE221" s="9"/>
      <c r="AF221" s="9"/>
      <c r="AG221" s="9"/>
      <c r="AH221" s="38">
        <v>426411</v>
      </c>
      <c r="AI221" s="9"/>
      <c r="AJ221" s="9"/>
      <c r="AM221" s="3" t="s">
        <v>10</v>
      </c>
    </row>
    <row r="222" spans="3:39" hidden="1" x14ac:dyDescent="0.25">
      <c r="C222" s="36" t="s">
        <v>166</v>
      </c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8" t="s">
        <v>167</v>
      </c>
      <c r="AD222" s="9"/>
      <c r="AE222" s="9"/>
      <c r="AF222" s="9"/>
      <c r="AG222" s="9"/>
      <c r="AH222" s="38">
        <v>411310</v>
      </c>
      <c r="AI222" s="9"/>
      <c r="AJ222" s="9"/>
      <c r="AM222" s="3" t="s">
        <v>10</v>
      </c>
    </row>
    <row r="223" spans="3:39" hidden="1" x14ac:dyDescent="0.25">
      <c r="C223" s="36" t="s">
        <v>168</v>
      </c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8" t="s">
        <v>169</v>
      </c>
      <c r="AD223" s="9"/>
      <c r="AE223" s="9"/>
      <c r="AF223" s="9"/>
      <c r="AG223" s="9"/>
      <c r="AH223" s="38">
        <v>421101</v>
      </c>
      <c r="AI223" s="9"/>
      <c r="AJ223" s="9"/>
      <c r="AM223" s="3" t="s">
        <v>53</v>
      </c>
    </row>
    <row r="224" spans="3:39" hidden="1" x14ac:dyDescent="0.25">
      <c r="C224" s="36" t="s">
        <v>170</v>
      </c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8" t="s">
        <v>162</v>
      </c>
      <c r="AD224" s="9"/>
      <c r="AE224" s="9"/>
      <c r="AF224" s="9"/>
      <c r="AG224" s="9"/>
      <c r="AH224" s="38">
        <v>461101</v>
      </c>
      <c r="AI224" s="9"/>
      <c r="AJ224" s="9"/>
      <c r="AM224" s="3" t="s">
        <v>53</v>
      </c>
    </row>
    <row r="225" spans="3:39" hidden="1" x14ac:dyDescent="0.25">
      <c r="C225" s="36" t="s">
        <v>171</v>
      </c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8" t="s">
        <v>162</v>
      </c>
      <c r="AD225" s="9"/>
      <c r="AE225" s="9"/>
      <c r="AF225" s="9"/>
      <c r="AG225" s="9"/>
      <c r="AH225" s="38">
        <v>461101</v>
      </c>
      <c r="AI225" s="9"/>
      <c r="AJ225" s="9"/>
      <c r="AM225" s="3" t="s">
        <v>53</v>
      </c>
    </row>
    <row r="226" spans="3:39" hidden="1" x14ac:dyDescent="0.25">
      <c r="C226" s="36" t="s">
        <v>172</v>
      </c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8" t="s">
        <v>118</v>
      </c>
      <c r="AD226" s="9"/>
      <c r="AE226" s="9"/>
      <c r="AF226" s="9"/>
      <c r="AG226" s="9"/>
      <c r="AH226" s="38">
        <v>431001</v>
      </c>
      <c r="AI226" s="9"/>
      <c r="AJ226" s="9"/>
      <c r="AM226" s="3" t="s">
        <v>10</v>
      </c>
    </row>
    <row r="227" spans="3:39" hidden="1" x14ac:dyDescent="0.25">
      <c r="C227" s="36" t="s">
        <v>173</v>
      </c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8" t="s">
        <v>151</v>
      </c>
      <c r="AD227" s="9"/>
      <c r="AE227" s="9"/>
      <c r="AF227" s="9"/>
      <c r="AG227" s="9"/>
      <c r="AH227" s="38">
        <v>470402</v>
      </c>
      <c r="AI227" s="9"/>
      <c r="AK227" s="9"/>
      <c r="AM227" s="3" t="s">
        <v>10</v>
      </c>
    </row>
    <row r="228" spans="3:39" hidden="1" x14ac:dyDescent="0.25">
      <c r="C228" s="36" t="s">
        <v>174</v>
      </c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8" t="s">
        <v>175</v>
      </c>
      <c r="AD228" s="9"/>
      <c r="AE228" s="9"/>
      <c r="AF228" s="9"/>
      <c r="AG228" s="9"/>
      <c r="AH228" s="38">
        <v>411301</v>
      </c>
      <c r="AI228" s="9"/>
      <c r="AJ228" s="9"/>
      <c r="AM228" s="3" t="s">
        <v>53</v>
      </c>
    </row>
    <row r="229" spans="3:39" hidden="1" x14ac:dyDescent="0.25">
      <c r="C229" s="36" t="s">
        <v>176</v>
      </c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8" t="s">
        <v>177</v>
      </c>
      <c r="AD229" s="9"/>
      <c r="AE229" s="9"/>
      <c r="AF229" s="9"/>
      <c r="AG229" s="9"/>
      <c r="AH229" s="38">
        <v>426006</v>
      </c>
      <c r="AI229" s="9"/>
      <c r="AJ229" s="9"/>
      <c r="AM229" s="3" t="s">
        <v>53</v>
      </c>
    </row>
    <row r="230" spans="3:39" hidden="1" x14ac:dyDescent="0.25">
      <c r="C230" s="36" t="s">
        <v>178</v>
      </c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8" t="s">
        <v>162</v>
      </c>
      <c r="AD230" s="9"/>
      <c r="AE230" s="9"/>
      <c r="AF230" s="9"/>
      <c r="AG230" s="9"/>
      <c r="AH230" s="38">
        <v>461101</v>
      </c>
      <c r="AI230" s="9"/>
      <c r="AJ230" s="9"/>
      <c r="AM230" s="3" t="s">
        <v>53</v>
      </c>
    </row>
    <row r="231" spans="3:39" hidden="1" x14ac:dyDescent="0.25">
      <c r="C231" s="36" t="s">
        <v>179</v>
      </c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8" t="s">
        <v>180</v>
      </c>
      <c r="AD231" s="9"/>
      <c r="AE231" s="9"/>
      <c r="AF231" s="9"/>
      <c r="AG231" s="9"/>
      <c r="AH231" s="38">
        <v>426012</v>
      </c>
      <c r="AI231" s="9"/>
      <c r="AJ231" s="9"/>
      <c r="AM231" s="3" t="s">
        <v>53</v>
      </c>
    </row>
    <row r="232" spans="3:39" hidden="1" x14ac:dyDescent="0.25">
      <c r="C232" s="36" t="s">
        <v>181</v>
      </c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8" t="s">
        <v>182</v>
      </c>
      <c r="AD232" s="9"/>
      <c r="AE232" s="9"/>
      <c r="AF232" s="9"/>
      <c r="AG232" s="9"/>
      <c r="AH232" s="38">
        <v>490001</v>
      </c>
      <c r="AI232" s="9"/>
      <c r="AJ232" s="9"/>
      <c r="AM232" s="3" t="s">
        <v>106</v>
      </c>
    </row>
    <row r="233" spans="3:39" hidden="1" x14ac:dyDescent="0.25">
      <c r="C233" s="36" t="s">
        <v>183</v>
      </c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8" t="s">
        <v>184</v>
      </c>
      <c r="AD233" s="9"/>
      <c r="AE233" s="9"/>
      <c r="AF233" s="9"/>
      <c r="AG233" s="9"/>
      <c r="AH233" s="38">
        <v>492301</v>
      </c>
      <c r="AI233" s="9"/>
      <c r="AJ233" s="9"/>
      <c r="AM233" s="3" t="s">
        <v>106</v>
      </c>
    </row>
    <row r="234" spans="3:39" hidden="1" x14ac:dyDescent="0.25">
      <c r="C234" s="36" t="s">
        <v>185</v>
      </c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8" t="s">
        <v>113</v>
      </c>
      <c r="AD234" s="9"/>
      <c r="AE234" s="9"/>
      <c r="AF234" s="9"/>
      <c r="AG234" s="9"/>
      <c r="AH234" s="38">
        <v>470001</v>
      </c>
      <c r="AI234" s="9"/>
      <c r="AJ234" s="9"/>
      <c r="AM234" s="3" t="s">
        <v>53</v>
      </c>
    </row>
    <row r="235" spans="3:39" hidden="1" x14ac:dyDescent="0.25">
      <c r="C235" s="36" t="s">
        <v>186</v>
      </c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8" t="s">
        <v>187</v>
      </c>
      <c r="AD235" s="9"/>
      <c r="AE235" s="9"/>
      <c r="AF235" s="9"/>
      <c r="AG235" s="9"/>
      <c r="AH235" s="38">
        <v>411408</v>
      </c>
      <c r="AI235" s="9"/>
      <c r="AJ235" s="9"/>
      <c r="AM235" s="3" t="s">
        <v>10</v>
      </c>
    </row>
    <row r="236" spans="3:39" hidden="1" x14ac:dyDescent="0.25">
      <c r="C236" s="36" t="s">
        <v>188</v>
      </c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8" t="s">
        <v>189</v>
      </c>
      <c r="AD236" s="9"/>
      <c r="AE236" s="9"/>
      <c r="AF236" s="9"/>
      <c r="AG236" s="9"/>
      <c r="AH236" s="38">
        <v>426014</v>
      </c>
      <c r="AI236" s="9"/>
      <c r="AJ236" s="9"/>
      <c r="AM236" s="3" t="s">
        <v>53</v>
      </c>
    </row>
    <row r="237" spans="3:39" hidden="1" x14ac:dyDescent="0.25">
      <c r="C237" s="36" t="s">
        <v>190</v>
      </c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8" t="s">
        <v>191</v>
      </c>
      <c r="AD237" s="9"/>
      <c r="AE237" s="9"/>
      <c r="AF237" s="9"/>
      <c r="AG237" s="9"/>
      <c r="AH237" s="38">
        <v>460012</v>
      </c>
      <c r="AI237" s="9"/>
      <c r="AJ237" s="9"/>
      <c r="AM237" s="3" t="s">
        <v>10</v>
      </c>
    </row>
    <row r="238" spans="3:39" hidden="1" x14ac:dyDescent="0.25">
      <c r="C238" s="36" t="s">
        <v>192</v>
      </c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8" t="s">
        <v>193</v>
      </c>
      <c r="AD238" s="9"/>
      <c r="AE238" s="9"/>
      <c r="AF238" s="9"/>
      <c r="AG238" s="9"/>
      <c r="AH238" s="38">
        <v>495002</v>
      </c>
      <c r="AI238" s="9"/>
      <c r="AJ238" s="9"/>
      <c r="AM238" s="3" t="s">
        <v>106</v>
      </c>
    </row>
    <row r="239" spans="3:39" hidden="1" x14ac:dyDescent="0.25">
      <c r="C239" s="9" t="s">
        <v>59</v>
      </c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40"/>
      <c r="AD239" s="9"/>
      <c r="AE239" s="9"/>
      <c r="AF239" s="9"/>
      <c r="AG239" s="9"/>
      <c r="AH239" s="41"/>
      <c r="AI239" s="9"/>
      <c r="AJ239" s="9"/>
    </row>
    <row r="240" spans="3:39" hidden="1" x14ac:dyDescent="0.25"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</row>
    <row r="241" spans="3:34" hidden="1" x14ac:dyDescent="0.25"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</row>
    <row r="243" spans="3:34" hidden="1" x14ac:dyDescent="0.25">
      <c r="C243" s="3" t="s">
        <v>194</v>
      </c>
    </row>
    <row r="244" spans="3:34" hidden="1" x14ac:dyDescent="0.25">
      <c r="C244" s="3" t="s">
        <v>66</v>
      </c>
    </row>
    <row r="245" spans="3:34" hidden="1" x14ac:dyDescent="0.25">
      <c r="C245" s="3" t="s">
        <v>69</v>
      </c>
    </row>
    <row r="246" spans="3:34" hidden="1" x14ac:dyDescent="0.25">
      <c r="C246" s="3" t="s">
        <v>59</v>
      </c>
    </row>
    <row r="248" spans="3:34" hidden="1" x14ac:dyDescent="0.25">
      <c r="C248" s="42" t="s">
        <v>22</v>
      </c>
    </row>
    <row r="249" spans="3:34" hidden="1" x14ac:dyDescent="0.25">
      <c r="C249" s="43">
        <v>1</v>
      </c>
      <c r="D249" s="44"/>
      <c r="E249" s="44"/>
      <c r="F249" s="44"/>
      <c r="G249" s="44"/>
      <c r="H249" s="44"/>
    </row>
    <row r="250" spans="3:34" hidden="1" x14ac:dyDescent="0.25">
      <c r="C250" s="43">
        <v>2</v>
      </c>
    </row>
    <row r="251" spans="3:34" hidden="1" x14ac:dyDescent="0.25">
      <c r="C251" s="43">
        <v>3</v>
      </c>
    </row>
    <row r="252" spans="3:34" hidden="1" x14ac:dyDescent="0.25">
      <c r="C252" s="43">
        <v>4</v>
      </c>
    </row>
    <row r="253" spans="3:34" hidden="1" x14ac:dyDescent="0.25">
      <c r="C253" s="43">
        <v>5</v>
      </c>
    </row>
    <row r="254" spans="3:34" hidden="1" x14ac:dyDescent="0.25">
      <c r="C254" s="43">
        <v>6</v>
      </c>
    </row>
    <row r="255" spans="3:34" hidden="1" x14ac:dyDescent="0.25">
      <c r="C255" s="43">
        <v>7</v>
      </c>
    </row>
    <row r="256" spans="3:34" hidden="1" x14ac:dyDescent="0.25">
      <c r="C256" s="43">
        <v>8</v>
      </c>
    </row>
    <row r="257" spans="3:3" hidden="1" x14ac:dyDescent="0.25">
      <c r="C257" s="43">
        <v>9</v>
      </c>
    </row>
    <row r="258" spans="3:3" hidden="1" x14ac:dyDescent="0.25">
      <c r="C258" s="43">
        <v>10</v>
      </c>
    </row>
    <row r="259" spans="3:3" hidden="1" x14ac:dyDescent="0.25">
      <c r="C259" s="43">
        <v>11</v>
      </c>
    </row>
    <row r="260" spans="3:3" hidden="1" x14ac:dyDescent="0.25">
      <c r="C260" s="43">
        <v>12</v>
      </c>
    </row>
    <row r="261" spans="3:3" hidden="1" x14ac:dyDescent="0.25">
      <c r="C261" s="43">
        <v>13</v>
      </c>
    </row>
    <row r="262" spans="3:3" hidden="1" x14ac:dyDescent="0.25">
      <c r="C262" s="43">
        <v>14</v>
      </c>
    </row>
    <row r="263" spans="3:3" hidden="1" x14ac:dyDescent="0.25">
      <c r="C263" s="43">
        <v>15</v>
      </c>
    </row>
    <row r="264" spans="3:3" hidden="1" x14ac:dyDescent="0.25">
      <c r="C264" s="43">
        <v>16</v>
      </c>
    </row>
    <row r="265" spans="3:3" hidden="1" x14ac:dyDescent="0.25">
      <c r="C265" s="43">
        <v>17</v>
      </c>
    </row>
    <row r="266" spans="3:3" hidden="1" x14ac:dyDescent="0.25">
      <c r="C266" s="43">
        <v>18</v>
      </c>
    </row>
    <row r="267" spans="3:3" hidden="1" x14ac:dyDescent="0.25">
      <c r="C267" s="43">
        <v>19</v>
      </c>
    </row>
    <row r="268" spans="3:3" hidden="1" x14ac:dyDescent="0.25">
      <c r="C268" s="43">
        <v>20</v>
      </c>
    </row>
    <row r="269" spans="3:3" hidden="1" x14ac:dyDescent="0.25">
      <c r="C269" s="43">
        <v>21</v>
      </c>
    </row>
    <row r="270" spans="3:3" hidden="1" x14ac:dyDescent="0.25">
      <c r="C270" s="43">
        <v>22</v>
      </c>
    </row>
    <row r="271" spans="3:3" hidden="1" x14ac:dyDescent="0.25">
      <c r="C271" s="43">
        <v>23</v>
      </c>
    </row>
    <row r="272" spans="3:3" hidden="1" x14ac:dyDescent="0.25">
      <c r="C272" s="43">
        <v>24</v>
      </c>
    </row>
    <row r="273" spans="3:7" hidden="1" x14ac:dyDescent="0.25">
      <c r="C273" s="43">
        <v>25</v>
      </c>
    </row>
    <row r="274" spans="3:7" hidden="1" x14ac:dyDescent="0.25">
      <c r="C274" s="43">
        <v>26</v>
      </c>
    </row>
    <row r="275" spans="3:7" hidden="1" x14ac:dyDescent="0.25">
      <c r="C275" s="43">
        <v>27</v>
      </c>
    </row>
    <row r="276" spans="3:7" hidden="1" x14ac:dyDescent="0.25">
      <c r="C276" s="43">
        <v>28</v>
      </c>
    </row>
    <row r="277" spans="3:7" hidden="1" x14ac:dyDescent="0.25">
      <c r="C277" s="43">
        <v>29</v>
      </c>
    </row>
    <row r="278" spans="3:7" hidden="1" x14ac:dyDescent="0.25">
      <c r="C278" s="43">
        <v>30</v>
      </c>
    </row>
    <row r="279" spans="3:7" hidden="1" x14ac:dyDescent="0.25">
      <c r="C279" s="43">
        <v>31</v>
      </c>
    </row>
    <row r="280" spans="3:7" hidden="1" x14ac:dyDescent="0.25">
      <c r="C280" s="43"/>
    </row>
    <row r="282" spans="3:7" hidden="1" x14ac:dyDescent="0.25">
      <c r="C282" s="42" t="s">
        <v>22</v>
      </c>
    </row>
    <row r="283" spans="3:7" hidden="1" x14ac:dyDescent="0.25">
      <c r="C283" s="44" t="s">
        <v>195</v>
      </c>
    </row>
    <row r="284" spans="3:7" hidden="1" x14ac:dyDescent="0.25">
      <c r="C284" s="44" t="s">
        <v>196</v>
      </c>
      <c r="D284" s="44"/>
      <c r="E284" s="44"/>
      <c r="F284" s="44"/>
      <c r="G284" s="44"/>
    </row>
    <row r="285" spans="3:7" hidden="1" x14ac:dyDescent="0.25">
      <c r="C285" s="44" t="s">
        <v>197</v>
      </c>
      <c r="D285" s="44"/>
      <c r="E285" s="44"/>
      <c r="F285" s="44"/>
      <c r="G285" s="44"/>
    </row>
    <row r="286" spans="3:7" hidden="1" x14ac:dyDescent="0.25">
      <c r="C286" s="44" t="s">
        <v>198</v>
      </c>
      <c r="D286" s="44"/>
      <c r="E286" s="44"/>
      <c r="F286" s="44"/>
      <c r="G286" s="44"/>
    </row>
    <row r="287" spans="3:7" hidden="1" x14ac:dyDescent="0.25">
      <c r="C287" s="44" t="s">
        <v>199</v>
      </c>
      <c r="D287" s="44"/>
      <c r="E287" s="44"/>
      <c r="F287" s="44"/>
      <c r="G287" s="44"/>
    </row>
    <row r="288" spans="3:7" hidden="1" x14ac:dyDescent="0.25">
      <c r="C288" s="44" t="s">
        <v>200</v>
      </c>
      <c r="D288" s="44"/>
      <c r="E288" s="44"/>
      <c r="F288" s="44"/>
      <c r="G288" s="44"/>
    </row>
    <row r="289" spans="3:7" hidden="1" x14ac:dyDescent="0.25">
      <c r="C289" s="44" t="s">
        <v>201</v>
      </c>
      <c r="D289" s="44"/>
      <c r="E289" s="44"/>
      <c r="F289" s="44"/>
      <c r="G289" s="44"/>
    </row>
    <row r="290" spans="3:7" hidden="1" x14ac:dyDescent="0.25">
      <c r="C290" s="44" t="s">
        <v>202</v>
      </c>
      <c r="D290" s="44"/>
      <c r="E290" s="44"/>
      <c r="F290" s="44"/>
      <c r="G290" s="44"/>
    </row>
    <row r="291" spans="3:7" hidden="1" x14ac:dyDescent="0.25">
      <c r="C291" s="44" t="s">
        <v>203</v>
      </c>
      <c r="D291" s="44"/>
      <c r="E291" s="44"/>
      <c r="F291" s="44"/>
      <c r="G291" s="44"/>
    </row>
    <row r="292" spans="3:7" hidden="1" x14ac:dyDescent="0.25">
      <c r="C292" s="44" t="s">
        <v>204</v>
      </c>
      <c r="D292" s="44"/>
      <c r="E292" s="44"/>
      <c r="F292" s="44"/>
      <c r="G292" s="44"/>
    </row>
    <row r="293" spans="3:7" hidden="1" x14ac:dyDescent="0.25">
      <c r="C293" s="44" t="s">
        <v>205</v>
      </c>
      <c r="D293" s="44"/>
      <c r="E293" s="44"/>
      <c r="F293" s="44"/>
      <c r="G293" s="44"/>
    </row>
    <row r="294" spans="3:7" hidden="1" x14ac:dyDescent="0.25">
      <c r="C294" s="44" t="s">
        <v>206</v>
      </c>
      <c r="D294" s="44"/>
      <c r="E294" s="44"/>
      <c r="F294" s="44"/>
      <c r="G294" s="44"/>
    </row>
    <row r="295" spans="3:7" hidden="1" x14ac:dyDescent="0.25">
      <c r="D295" s="44"/>
      <c r="E295" s="44"/>
      <c r="F295" s="44"/>
      <c r="G295" s="44"/>
    </row>
    <row r="296" spans="3:7" hidden="1" x14ac:dyDescent="0.25">
      <c r="C296" s="42" t="s">
        <v>22</v>
      </c>
      <c r="E296" s="3" t="s">
        <v>22</v>
      </c>
    </row>
    <row r="297" spans="3:7" hidden="1" x14ac:dyDescent="0.25">
      <c r="C297" s="45">
        <v>2020</v>
      </c>
      <c r="E297" s="3">
        <v>2019</v>
      </c>
    </row>
    <row r="298" spans="3:7" hidden="1" x14ac:dyDescent="0.25">
      <c r="C298" s="45">
        <v>2021</v>
      </c>
      <c r="E298" s="3">
        <v>2018</v>
      </c>
    </row>
    <row r="299" spans="3:7" hidden="1" x14ac:dyDescent="0.25">
      <c r="C299" s="45">
        <v>2022</v>
      </c>
      <c r="E299" s="3">
        <v>2017</v>
      </c>
    </row>
    <row r="300" spans="3:7" hidden="1" x14ac:dyDescent="0.25">
      <c r="C300" s="45">
        <v>2023</v>
      </c>
      <c r="E300" s="3">
        <v>2016</v>
      </c>
    </row>
    <row r="301" spans="3:7" hidden="1" x14ac:dyDescent="0.25">
      <c r="C301" s="45"/>
      <c r="E301" s="3">
        <v>2015</v>
      </c>
    </row>
    <row r="302" spans="3:7" hidden="1" x14ac:dyDescent="0.25">
      <c r="E302" s="3">
        <v>2014</v>
      </c>
    </row>
    <row r="303" spans="3:7" hidden="1" x14ac:dyDescent="0.25">
      <c r="E303" s="3">
        <v>2013</v>
      </c>
    </row>
    <row r="304" spans="3:7" hidden="1" x14ac:dyDescent="0.25">
      <c r="E304" s="3">
        <v>2012</v>
      </c>
    </row>
    <row r="305" spans="5:5" hidden="1" x14ac:dyDescent="0.25">
      <c r="E305" s="3">
        <v>2011</v>
      </c>
    </row>
    <row r="306" spans="5:5" hidden="1" x14ac:dyDescent="0.25">
      <c r="E306" s="3">
        <v>2010</v>
      </c>
    </row>
    <row r="307" spans="5:5" hidden="1" x14ac:dyDescent="0.25">
      <c r="E307" s="3">
        <v>2009</v>
      </c>
    </row>
    <row r="308" spans="5:5" hidden="1" x14ac:dyDescent="0.25">
      <c r="E308" s="3">
        <v>2008</v>
      </c>
    </row>
    <row r="309" spans="5:5" hidden="1" x14ac:dyDescent="0.25">
      <c r="E309" s="3">
        <v>2007</v>
      </c>
    </row>
    <row r="310" spans="5:5" hidden="1" x14ac:dyDescent="0.25">
      <c r="E310" s="3">
        <v>2006</v>
      </c>
    </row>
    <row r="311" spans="5:5" hidden="1" x14ac:dyDescent="0.25">
      <c r="E311" s="3">
        <v>2005</v>
      </c>
    </row>
    <row r="312" spans="5:5" hidden="1" x14ac:dyDescent="0.25">
      <c r="E312" s="3">
        <v>2004</v>
      </c>
    </row>
    <row r="313" spans="5:5" hidden="1" x14ac:dyDescent="0.25">
      <c r="E313" s="3">
        <v>2003</v>
      </c>
    </row>
    <row r="314" spans="5:5" hidden="1" x14ac:dyDescent="0.25">
      <c r="E314" s="3">
        <v>2002</v>
      </c>
    </row>
    <row r="315" spans="5:5" hidden="1" x14ac:dyDescent="0.25">
      <c r="E315" s="3">
        <v>2001</v>
      </c>
    </row>
    <row r="316" spans="5:5" hidden="1" x14ac:dyDescent="0.25">
      <c r="E316" s="3">
        <v>2000</v>
      </c>
    </row>
    <row r="317" spans="5:5" hidden="1" x14ac:dyDescent="0.25">
      <c r="E317" s="3">
        <v>1999</v>
      </c>
    </row>
    <row r="318" spans="5:5" hidden="1" x14ac:dyDescent="0.25">
      <c r="E318" s="3">
        <v>1998</v>
      </c>
    </row>
    <row r="319" spans="5:5" hidden="1" x14ac:dyDescent="0.25">
      <c r="E319" s="3">
        <v>1997</v>
      </c>
    </row>
    <row r="320" spans="5:5" hidden="1" x14ac:dyDescent="0.25">
      <c r="E320" s="3">
        <v>1996</v>
      </c>
    </row>
  </sheetData>
  <sheetProtection formatRows="0"/>
  <mergeCells count="96">
    <mergeCell ref="X29:AE30"/>
    <mergeCell ref="C27:L28"/>
    <mergeCell ref="O27:AU28"/>
    <mergeCell ref="L1:BK4"/>
    <mergeCell ref="AZ7:BM7"/>
    <mergeCell ref="AP10:AT12"/>
    <mergeCell ref="AU10:BM12"/>
    <mergeCell ref="C17:L19"/>
    <mergeCell ref="O17:U19"/>
    <mergeCell ref="W17:AH19"/>
    <mergeCell ref="AJ17:BM19"/>
    <mergeCell ref="C5:V6"/>
    <mergeCell ref="BO17:BO19"/>
    <mergeCell ref="C23:L24"/>
    <mergeCell ref="O23:AU24"/>
    <mergeCell ref="AW23:BA24"/>
    <mergeCell ref="BC23:BM24"/>
    <mergeCell ref="X38:AH39"/>
    <mergeCell ref="AJ38:AQ39"/>
    <mergeCell ref="BC39:BE39"/>
    <mergeCell ref="BF39:BK39"/>
    <mergeCell ref="C32:L33"/>
    <mergeCell ref="O32:U33"/>
    <mergeCell ref="X32:AH33"/>
    <mergeCell ref="AJ32:AQ33"/>
    <mergeCell ref="AW32:BA33"/>
    <mergeCell ref="BC32:BM33"/>
    <mergeCell ref="BL39:BM39"/>
    <mergeCell ref="C37:L39"/>
    <mergeCell ref="AT37:BA39"/>
    <mergeCell ref="BC37:BE38"/>
    <mergeCell ref="BF37:BK38"/>
    <mergeCell ref="BL37:BM38"/>
    <mergeCell ref="BF43:BK44"/>
    <mergeCell ref="BL43:BM44"/>
    <mergeCell ref="C44:O46"/>
    <mergeCell ref="Q44:AJ46"/>
    <mergeCell ref="AS44:BA46"/>
    <mergeCell ref="BC45:BE46"/>
    <mergeCell ref="BF45:BK46"/>
    <mergeCell ref="BL45:BM46"/>
    <mergeCell ref="O38:U39"/>
    <mergeCell ref="AV91:BA92"/>
    <mergeCell ref="BC91:BM92"/>
    <mergeCell ref="C51:BM52"/>
    <mergeCell ref="C53:BM68"/>
    <mergeCell ref="C72:BM76"/>
    <mergeCell ref="C80:L81"/>
    <mergeCell ref="O80:AU81"/>
    <mergeCell ref="AW80:BA81"/>
    <mergeCell ref="BC80:BM81"/>
    <mergeCell ref="C85:L87"/>
    <mergeCell ref="O85:AU87"/>
    <mergeCell ref="C91:L92"/>
    <mergeCell ref="O91:U92"/>
    <mergeCell ref="AI91:AU92"/>
    <mergeCell ref="BC43:BE44"/>
    <mergeCell ref="C96:L99"/>
    <mergeCell ref="O96:U99"/>
    <mergeCell ref="D104:S105"/>
    <mergeCell ref="D106:BL116"/>
    <mergeCell ref="C120:M121"/>
    <mergeCell ref="P120:Z121"/>
    <mergeCell ref="AC120:AM121"/>
    <mergeCell ref="AP120:AZ121"/>
    <mergeCell ref="BC120:BM121"/>
    <mergeCell ref="AP133:AZ134"/>
    <mergeCell ref="BC133:BM134"/>
    <mergeCell ref="C122:M128"/>
    <mergeCell ref="P122:Z128"/>
    <mergeCell ref="AC122:AM130"/>
    <mergeCell ref="AP122:AZ130"/>
    <mergeCell ref="BC122:BM130"/>
    <mergeCell ref="C129:M130"/>
    <mergeCell ref="P129:Z130"/>
    <mergeCell ref="C135:M136"/>
    <mergeCell ref="P135:Z136"/>
    <mergeCell ref="AC135:AM136"/>
    <mergeCell ref="AP135:AZ136"/>
    <mergeCell ref="BC135:BM136"/>
    <mergeCell ref="AC188:AE188"/>
    <mergeCell ref="AH188:AI188"/>
    <mergeCell ref="AW27:BA28"/>
    <mergeCell ref="BC27:BM28"/>
    <mergeCell ref="AW85:BA87"/>
    <mergeCell ref="BC85:BM87"/>
    <mergeCell ref="X91:AG92"/>
    <mergeCell ref="C138:BM140"/>
    <mergeCell ref="C131:M132"/>
    <mergeCell ref="P131:Z132"/>
    <mergeCell ref="AC131:AM132"/>
    <mergeCell ref="AP131:AZ132"/>
    <mergeCell ref="BC131:BM132"/>
    <mergeCell ref="C133:M134"/>
    <mergeCell ref="P133:Z134"/>
    <mergeCell ref="AC133:AM134"/>
  </mergeCells>
  <conditionalFormatting sqref="J22:O22 J26:AP26 AH91:AI91 J16:AP16 M23:N24 J34:AP34 M35:N36 K47:O49 Q47:R49 K50:R50 M80:N81 X91 J93:AP94 J95:X95 AR104">
    <cfRule type="cellIs" dxfId="63" priority="79" stopIfTrue="1" operator="equal">
      <formula>"Selecciona"</formula>
    </cfRule>
  </conditionalFormatting>
  <conditionalFormatting sqref="J16:AP16 J22:O22 M23:N24 J26:AP26 J34:AP34 M35:N36 K47:O49 Q47:R49 K50:R50 M80:N81 X91 AH91:AI91 J93:AP94 J95:X95 AR104">
    <cfRule type="cellIs" dxfId="62" priority="80" stopIfTrue="1" operator="equal">
      <formula>"Selec"</formula>
    </cfRule>
  </conditionalFormatting>
  <conditionalFormatting sqref="J79:AP79 J83:AP83">
    <cfRule type="cellIs" dxfId="61" priority="59" stopIfTrue="1" operator="equal">
      <formula>"Selecciona"</formula>
    </cfRule>
    <cfRule type="cellIs" dxfId="60" priority="60" stopIfTrue="1" operator="equal">
      <formula>"Selec"</formula>
    </cfRule>
  </conditionalFormatting>
  <conditionalFormatting sqref="O23">
    <cfRule type="cellIs" dxfId="59" priority="15" operator="equal">
      <formula>SELECCIONA</formula>
    </cfRule>
    <cfRule type="cellIs" dxfId="58" priority="16" stopIfTrue="1" operator="equal">
      <formula>0</formula>
    </cfRule>
    <cfRule type="cellIs" dxfId="57" priority="17" stopIfTrue="1" operator="equal">
      <formula>"Selecciona"</formula>
    </cfRule>
    <cfRule type="containsText" dxfId="56" priority="18" stopIfTrue="1" operator="containsText" text="&quot;&quot;">
      <formula>NOT(ISERROR(SEARCH("""""",O23)))</formula>
    </cfRule>
  </conditionalFormatting>
  <conditionalFormatting sqref="O27">
    <cfRule type="cellIs" dxfId="55" priority="11" operator="equal">
      <formula>SELECCIONA</formula>
    </cfRule>
    <cfRule type="cellIs" dxfId="54" priority="12" stopIfTrue="1" operator="equal">
      <formula>0</formula>
    </cfRule>
    <cfRule type="cellIs" dxfId="53" priority="13" stopIfTrue="1" operator="equal">
      <formula>"Selecciona"</formula>
    </cfRule>
    <cfRule type="containsText" dxfId="52" priority="14" stopIfTrue="1" operator="containsText" text="&quot;&quot;">
      <formula>NOT(ISERROR(SEARCH("""""",O27)))</formula>
    </cfRule>
  </conditionalFormatting>
  <conditionalFormatting sqref="O38">
    <cfRule type="expression" dxfId="51" priority="91">
      <formula>IF+#REF!=""</formula>
    </cfRule>
  </conditionalFormatting>
  <conditionalFormatting sqref="O80 O79:U79 O83:U83">
    <cfRule type="cellIs" dxfId="50" priority="55" operator="equal">
      <formula>""""""</formula>
    </cfRule>
  </conditionalFormatting>
  <conditionalFormatting sqref="O80">
    <cfRule type="cellIs" dxfId="49" priority="57" stopIfTrue="1" operator="equal">
      <formula>"Selecciona"</formula>
    </cfRule>
    <cfRule type="containsText" dxfId="48" priority="58" stopIfTrue="1" operator="containsText" text="&quot;&quot;">
      <formula>NOT(ISERROR(SEARCH("""""",O80)))</formula>
    </cfRule>
  </conditionalFormatting>
  <conditionalFormatting sqref="O85 BC32 AJ38 O80 BC91">
    <cfRule type="cellIs" dxfId="47" priority="24" operator="equal">
      <formula>SELECCIONA</formula>
    </cfRule>
  </conditionalFormatting>
  <conditionalFormatting sqref="O17:U21 O22 O26:U26">
    <cfRule type="cellIs" dxfId="46" priority="73" operator="equal">
      <formula>""""""</formula>
    </cfRule>
    <cfRule type="cellIs" dxfId="45" priority="76" stopIfTrue="1" operator="equal">
      <formula>0</formula>
    </cfRule>
  </conditionalFormatting>
  <conditionalFormatting sqref="O91:U92 O32">
    <cfRule type="cellIs" dxfId="44" priority="88" stopIfTrue="1" operator="equal">
      <formula>0</formula>
    </cfRule>
  </conditionalFormatting>
  <conditionalFormatting sqref="O79:U79 O80 O83:U83">
    <cfRule type="cellIs" dxfId="43" priority="56" stopIfTrue="1" operator="equal">
      <formula>0</formula>
    </cfRule>
  </conditionalFormatting>
  <conditionalFormatting sqref="Q44">
    <cfRule type="cellIs" dxfId="41" priority="7" operator="equal">
      <formula>SELECCIONA</formula>
    </cfRule>
    <cfRule type="cellIs" dxfId="40" priority="8" stopIfTrue="1" operator="equal">
      <formula>0</formula>
    </cfRule>
    <cfRule type="cellIs" dxfId="39" priority="9" stopIfTrue="1" operator="equal">
      <formula>"Selecciona"</formula>
    </cfRule>
    <cfRule type="containsText" dxfId="38" priority="10" stopIfTrue="1" operator="containsText" text="&quot;&quot;">
      <formula>NOT(ISERROR(SEARCH("""""",Q44)))</formula>
    </cfRule>
  </conditionalFormatting>
  <conditionalFormatting sqref="S43:AJ43 AL43:AX43 AL44:AS44 AK44:AK46 AL45:AR47 S47:AK47 AS47:AX47 S48:AX50">
    <cfRule type="cellIs" dxfId="36" priority="92" stopIfTrue="1" operator="notEqual">
      <formula>#REF!="ESPECIFIQUE:"</formula>
    </cfRule>
  </conditionalFormatting>
  <conditionalFormatting sqref="V29:V31">
    <cfRule type="cellIs" dxfId="35" priority="87" stopIfTrue="1" operator="equal">
      <formula>"SELECCIONA"</formula>
    </cfRule>
  </conditionalFormatting>
  <conditionalFormatting sqref="V37">
    <cfRule type="cellIs" dxfId="34" priority="64" stopIfTrue="1" operator="equal">
      <formula>"SELECCIONA"</formula>
    </cfRule>
  </conditionalFormatting>
  <conditionalFormatting sqref="W96 AG98:AH98 AG100:AH100">
    <cfRule type="containsText" dxfId="33" priority="68" operator="containsText" text="&quot;&quot;">
      <formula>NOT(ISERROR(SEARCH("""""",W96)))</formula>
    </cfRule>
  </conditionalFormatting>
  <conditionalFormatting sqref="W104">
    <cfRule type="cellIs" dxfId="32" priority="81" stopIfTrue="1" operator="equal">
      <formula>"Selecciona"</formula>
    </cfRule>
    <cfRule type="cellIs" dxfId="31" priority="82" stopIfTrue="1" operator="equal">
      <formula>"Selec"</formula>
    </cfRule>
    <cfRule type="cellIs" dxfId="30" priority="83" stopIfTrue="1" operator="equal">
      <formula>"SI"</formula>
    </cfRule>
  </conditionalFormatting>
  <conditionalFormatting sqref="X29">
    <cfRule type="cellIs" dxfId="29" priority="19" operator="equal">
      <formula>SELECCIONA</formula>
    </cfRule>
    <cfRule type="cellIs" dxfId="28" priority="20" stopIfTrue="1" operator="equal">
      <formula>0</formula>
    </cfRule>
  </conditionalFormatting>
  <conditionalFormatting sqref="X97 X99:AK99 X101:AK101">
    <cfRule type="cellIs" dxfId="27" priority="69" stopIfTrue="1" operator="equal">
      <formula>"Selecciona"</formula>
    </cfRule>
    <cfRule type="cellIs" dxfId="26" priority="70" stopIfTrue="1" operator="equal">
      <formula>"Selec"</formula>
    </cfRule>
  </conditionalFormatting>
  <conditionalFormatting sqref="X29:AE30">
    <cfRule type="cellIs" dxfId="25" priority="21" stopIfTrue="1" operator="equal">
      <formula>"Selecciona"</formula>
    </cfRule>
    <cfRule type="containsText" dxfId="24" priority="22" stopIfTrue="1" operator="containsText" text="&quot;&quot;">
      <formula>NOT(ISERROR(SEARCH("""""",X29)))</formula>
    </cfRule>
  </conditionalFormatting>
  <conditionalFormatting sqref="X32:AQ33 Q35:BM36 Q37:U37 O38 AH40:BM40 Q40:AF42 AH41:BB42 AS96:BM97 AL98:BM100">
    <cfRule type="containsText" dxfId="23" priority="78" operator="containsText" text="&quot;&quot;">
      <formula>NOT(ISERROR(SEARCH("""""",O32)))</formula>
    </cfRule>
  </conditionalFormatting>
  <conditionalFormatting sqref="X32:AQ33 BC32 Q35:BM36 Q37:U37 AH40:BM40 Q40:AF42 AH41:BB42 AS96:BM97 AL98:BM100">
    <cfRule type="cellIs" dxfId="22" priority="77" operator="equal">
      <formula>"Selecciona"</formula>
    </cfRule>
  </conditionalFormatting>
  <conditionalFormatting sqref="X38:AQ39">
    <cfRule type="cellIs" dxfId="21" priority="62" stopIfTrue="1" operator="equal">
      <formula>"Selecciona"</formula>
    </cfRule>
    <cfRule type="containsText" dxfId="20" priority="63" stopIfTrue="1" operator="containsText" text="&quot;&quot;">
      <formula>NOT(ISERROR(SEARCH("""""",X38)))</formula>
    </cfRule>
  </conditionalFormatting>
  <conditionalFormatting sqref="AI91">
    <cfRule type="cellIs" dxfId="19" priority="66" stopIfTrue="1" operator="equal">
      <formula>0</formula>
    </cfRule>
  </conditionalFormatting>
  <conditionalFormatting sqref="AI104">
    <cfRule type="cellIs" dxfId="18" priority="84" stopIfTrue="1" operator="equal">
      <formula>"Selecciona"</formula>
    </cfRule>
    <cfRule type="cellIs" dxfId="17" priority="85" stopIfTrue="1" operator="equal">
      <formula>"Selec"</formula>
    </cfRule>
    <cfRule type="cellIs" dxfId="16" priority="86" stopIfTrue="1" operator="equal">
      <formula>"LAPTOP"</formula>
    </cfRule>
  </conditionalFormatting>
  <conditionalFormatting sqref="AJ32">
    <cfRule type="cellIs" dxfId="15" priority="75" stopIfTrue="1" operator="equal">
      <formula>0</formula>
    </cfRule>
  </conditionalFormatting>
  <conditionalFormatting sqref="AJ38">
    <cfRule type="cellIs" dxfId="14" priority="61" stopIfTrue="1" operator="equal">
      <formula>0</formula>
    </cfRule>
  </conditionalFormatting>
  <conditionalFormatting sqref="BC27">
    <cfRule type="cellIs" dxfId="13" priority="1" operator="equal">
      <formula>SELECCIONA</formula>
    </cfRule>
    <cfRule type="cellIs" dxfId="12" priority="2" stopIfTrue="1" operator="equal">
      <formula>0</formula>
    </cfRule>
    <cfRule type="cellIs" dxfId="11" priority="3" stopIfTrue="1" operator="equal">
      <formula>"Selecciona"</formula>
    </cfRule>
    <cfRule type="containsText" dxfId="10" priority="4" stopIfTrue="1" operator="containsText" text="&quot;&quot;">
      <formula>NOT(ISERROR(SEARCH("""""",BC27)))</formula>
    </cfRule>
  </conditionalFormatting>
  <conditionalFormatting sqref="BC39 BF39:BM39 BC45 BF45:BM46">
    <cfRule type="cellIs" dxfId="8" priority="74" stopIfTrue="1" operator="equal">
      <formula>"N/A"</formula>
    </cfRule>
  </conditionalFormatting>
  <conditionalFormatting sqref="BC80">
    <cfRule type="cellIs" dxfId="7" priority="54" stopIfTrue="1" operator="equal">
      <formula>"SELECCIONA"</formula>
    </cfRule>
  </conditionalFormatting>
  <conditionalFormatting sqref="BC85 V88:V90">
    <cfRule type="cellIs" dxfId="6" priority="71" stopIfTrue="1" operator="equal">
      <formula>"SELECCIONA"</formula>
    </cfRule>
  </conditionalFormatting>
  <conditionalFormatting sqref="BC91 W96 AG98 AG100">
    <cfRule type="cellIs" dxfId="5" priority="67" operator="equal">
      <formula>"Selecciona"</formula>
    </cfRule>
  </conditionalFormatting>
  <dataValidations count="7">
    <dataValidation type="list" allowBlank="1" showInputMessage="1" showErrorMessage="1" sqref="AI104" xr:uid="{8EFE5129-9451-4718-8311-312F3A710C47}">
      <formula1>$C$171:$C$174</formula1>
    </dataValidation>
    <dataValidation type="list" showInputMessage="1" showErrorMessage="1" sqref="BC39" xr:uid="{1A664BD1-8BA3-4DA2-94E1-5E3BD75B6A91}">
      <formula1>$C$248:$C$279</formula1>
    </dataValidation>
    <dataValidation type="list" allowBlank="1" showInputMessage="1" showErrorMessage="1" sqref="BF39:BK39" xr:uid="{4648AE7B-E1AC-484A-92D8-4A6212E12AFD}">
      <formula1>$C$282:$C$294</formula1>
    </dataValidation>
    <dataValidation type="list" allowBlank="1" showInputMessage="1" showErrorMessage="1" sqref="W104" xr:uid="{DA22CCA4-E691-4E6A-9D5E-97B5834C724D}">
      <formula1>$C$166:$C$169</formula1>
    </dataValidation>
    <dataValidation type="list" allowBlank="1" showInputMessage="1" showErrorMessage="1" sqref="BC91" xr:uid="{677D6725-EF45-4EFC-9CB6-85A4BE009A00}">
      <formula1>$R$164:$R$168</formula1>
    </dataValidation>
    <dataValidation type="list" allowBlank="1" showInputMessage="1" showErrorMessage="1" sqref="AU101:BB101" xr:uid="{D3F5E7ED-8DB8-4685-BB23-0AD4FFE1A5DD}">
      <formula1>$C$153:$C$167</formula1>
    </dataValidation>
    <dataValidation type="list" allowBlank="1" showInputMessage="1" showErrorMessage="1" sqref="BF26:BL26 BF79:BL79 BF10:BL22 BF83:BK83" xr:uid="{D7FA1813-FB4B-40C9-99AE-35269484A9CB}">
      <formula1>$C$157:$C$159</formula1>
    </dataValidation>
  </dataValidations>
  <pageMargins left="0.15748031496062992" right="0.15748031496062992" top="0.6692913385826772" bottom="0.53" header="0.31496062992125984" footer="0.31496062992125984"/>
  <pageSetup scale="60" orientation="portrait" verticalDpi="0" r:id="rId1"/>
  <rowBreaks count="1" manualBreakCount="1">
    <brk id="140" max="65" man="1"/>
  </rowBreaks>
  <colBreaks count="1" manualBreakCount="1">
    <brk id="67" max="160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equal" id="{64EFEC8D-7BFB-45ED-B967-406E67B72CCB}">
            <xm:f>Hoja2!$E$23</xm:f>
            <x14:dxf>
              <fill>
                <patternFill>
                  <bgColor rgb="FF66FF66"/>
                </patternFill>
              </fill>
            </x14:dxf>
          </x14:cfRule>
          <xm:sqref>O85:AU87</xm:sqref>
        </x14:conditionalFormatting>
        <x14:conditionalFormatting xmlns:xm="http://schemas.microsoft.com/office/excel/2006/main">
          <x14:cfRule type="cellIs" priority="6" operator="equal" id="{2419B1EB-4078-4AF1-A4AA-057CF537BEE4}">
            <xm:f>Hoja2!$E$30</xm:f>
            <x14:dxf>
              <fill>
                <patternFill patternType="solid">
                  <bgColor rgb="FF66FF33"/>
                </patternFill>
              </fill>
            </x14:dxf>
          </x14:cfRule>
          <xm:sqref>Q44:AJ46</xm:sqref>
        </x14:conditionalFormatting>
        <x14:conditionalFormatting xmlns:xm="http://schemas.microsoft.com/office/excel/2006/main">
          <x14:cfRule type="containsText" priority="65" operator="containsText" id="{EBEA09AC-3696-45B4-9EF1-976004C306A4}">
            <xm:f>NOT(ISERROR(SEARCH("-",BC39)))</xm:f>
            <xm:f>"-"</xm:f>
            <x14:dxf>
              <fill>
                <patternFill>
                  <bgColor rgb="FF00FF00"/>
                </patternFill>
              </fill>
            </x14:dxf>
          </x14:cfRule>
          <xm:sqref>BC39 BF39:BM39 BC45 BF45:BM46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6C2302E1-6FA4-42D5-B4BC-FA9895824BDA}">
          <x14:formula1>
            <xm:f>Hoja2!$C$29:$C$35</xm:f>
          </x14:formula1>
          <xm:sqref>BL45:BM46</xm:sqref>
        </x14:dataValidation>
        <x14:dataValidation type="list" allowBlank="1" showInputMessage="1" showErrorMessage="1" xr:uid="{1D65BE9F-AAED-4D9B-BE39-45A9D5F093C0}">
          <x14:formula1>
            <xm:f>Hoja2!$E$26:$E$30</xm:f>
          </x14:formula1>
          <xm:sqref>AJ38:AQ39</xm:sqref>
        </x14:dataValidation>
        <x14:dataValidation type="list" allowBlank="1" showInputMessage="1" showErrorMessage="1" xr:uid="{C3F7730B-A76D-424F-8E61-B3C271BE4114}">
          <x14:formula1>
            <xm:f>Hoja2!$C$1:$C$35</xm:f>
          </x14:formula1>
          <xm:sqref>BL39:BM39</xm:sqref>
        </x14:dataValidation>
        <x14:dataValidation type="list" errorStyle="information" allowBlank="1" showInputMessage="1" showErrorMessage="1" error="Por favor selecciona el puesto del listado." xr:uid="{F90932CF-B57F-4EED-80DE-089162A93E56}">
          <x14:formula1>
            <xm:f>Hoja2!$E$2:$E$23</xm:f>
          </x14:formula1>
          <xm:sqref>O23:AU24</xm:sqref>
        </x14:dataValidation>
        <x14:dataValidation type="list" allowBlank="1" showInputMessage="1" showErrorMessage="1" xr:uid="{844DE1F4-1560-4C5A-B6CF-EC94CF6B0C88}">
          <x14:formula1>
            <xm:f>Hoja2!$E$32:$E$36</xm:f>
          </x14:formula1>
          <xm:sqref>BC32:BM33</xm:sqref>
        </x14:dataValidation>
        <x14:dataValidation type="list" allowBlank="1" showInputMessage="1" showErrorMessage="1" xr:uid="{81F58966-DB0D-49AA-A7E8-8F3D6E12888B}">
          <x14:formula1>
            <xm:f>Hoja2!$A$1:$A$32</xm:f>
          </x14:formula1>
          <xm:sqref>BC45:BE46</xm:sqref>
        </x14:dataValidation>
        <x14:dataValidation type="list" allowBlank="1" showInputMessage="1" showErrorMessage="1" xr:uid="{861D9F31-ED50-4467-9BDB-9F12CAB758C7}">
          <x14:formula1>
            <xm:f>Hoja2!$B$1:$B$13</xm:f>
          </x14:formula1>
          <xm:sqref>BF45:BK46</xm:sqref>
        </x14:dataValidation>
        <x14:dataValidation type="list" allowBlank="1" showInputMessage="1" showErrorMessage="1" xr:uid="{7563EE46-C0A7-4ED4-AA5B-1F4AA10648B1}">
          <x14:formula1>
            <xm:f>Hoja2!$E$2:$E$23</xm:f>
          </x14:formula1>
          <xm:sqref>O80:AU81</xm:sqref>
        </x14:dataValidation>
        <x14:dataValidation type="list" allowBlank="1" showInputMessage="1" showErrorMessage="1" errorTitle=" " xr:uid="{076CE546-0924-45C8-A616-9895439DA9AC}">
          <x14:formula1>
            <xm:f>Hoja2!$E$26:$E$30</xm:f>
          </x14:formula1>
          <xm:sqref>Q44:AJ46</xm:sqref>
        </x14:dataValidation>
        <x14:dataValidation type="list" allowBlank="1" showInputMessage="1" showErrorMessage="1" xr:uid="{178665AD-580B-45EE-9956-FDC3D1E8D721}">
          <x14:formula1>
            <xm:f>Hoja2!$K$1:$K$4</xm:f>
          </x14:formula1>
          <xm:sqref>BC85:BM87</xm:sqref>
        </x14:dataValidation>
        <x14:dataValidation type="list" allowBlank="1" showInputMessage="1" showErrorMessage="1" xr:uid="{B86D950B-4BD5-4E72-9E0C-F9777D27F8C9}">
          <x14:formula1>
            <xm:f>Hoja2!$H$2:$H$46</xm:f>
          </x14:formula1>
          <xm:sqref>O27:AU28</xm:sqref>
        </x14:dataValidation>
        <x14:dataValidation type="list" allowBlank="1" showInputMessage="1" showErrorMessage="1" xr:uid="{98C4B771-B6B1-499A-8475-18D92E32E51D}">
          <x14:formula1>
            <xm:f>Hoja2!$H$1:$H$59</xm:f>
          </x14:formula1>
          <xm:sqref>O85:AU87</xm:sqref>
        </x14:dataValidation>
        <x14:dataValidation type="list" allowBlank="1" showInputMessage="1" showErrorMessage="1" xr:uid="{DD44C5E1-9C46-4326-B22F-80F3E8A6E4AF}">
          <x14:formula1>
            <xm:f>Hoja2!$L$4:$L$11</xm:f>
          </x14:formula1>
          <xm:sqref>BC27:BM28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D7B2-B8FC-445A-B295-7D4FC5D2B33F}">
  <sheetPr codeName="Hoja2"/>
  <dimension ref="A1:Q61"/>
  <sheetViews>
    <sheetView topLeftCell="E21" workbookViewId="0">
      <selection activeCell="H29" sqref="H29"/>
    </sheetView>
  </sheetViews>
  <sheetFormatPr baseColWidth="10" defaultColWidth="11.42578125" defaultRowHeight="21" x14ac:dyDescent="0.35"/>
  <cols>
    <col min="5" max="5" width="49" bestFit="1" customWidth="1"/>
    <col min="6" max="6" width="11.42578125" style="64"/>
    <col min="8" max="8" width="46.5703125" style="64" bestFit="1" customWidth="1"/>
    <col min="9" max="9" width="12.42578125" style="66" bestFit="1" customWidth="1"/>
  </cols>
  <sheetData>
    <row r="1" spans="1:17" x14ac:dyDescent="0.35">
      <c r="A1">
        <v>1</v>
      </c>
      <c r="B1" t="s">
        <v>207</v>
      </c>
      <c r="C1">
        <v>1996</v>
      </c>
      <c r="E1" s="1" t="s">
        <v>208</v>
      </c>
      <c r="F1" s="64" t="s">
        <v>209</v>
      </c>
      <c r="H1" s="63" t="s">
        <v>210</v>
      </c>
      <c r="I1" s="65" t="s">
        <v>211</v>
      </c>
    </row>
    <row r="2" spans="1:17" ht="18.75" x14ac:dyDescent="0.3">
      <c r="A2">
        <v>2</v>
      </c>
      <c r="B2" t="s">
        <v>196</v>
      </c>
      <c r="C2">
        <v>1997</v>
      </c>
      <c r="E2" s="64" t="s">
        <v>52</v>
      </c>
      <c r="F2" s="64" t="s">
        <v>51</v>
      </c>
      <c r="H2" s="70" t="s">
        <v>239</v>
      </c>
      <c r="I2" s="69">
        <v>494101</v>
      </c>
      <c r="J2" s="69" t="s">
        <v>105</v>
      </c>
      <c r="K2" s="70" t="s">
        <v>259</v>
      </c>
    </row>
    <row r="3" spans="1:17" ht="18.75" x14ac:dyDescent="0.3">
      <c r="A3">
        <v>3</v>
      </c>
      <c r="B3" t="s">
        <v>212</v>
      </c>
      <c r="C3">
        <v>1998</v>
      </c>
      <c r="E3" s="64" t="s">
        <v>61</v>
      </c>
      <c r="F3" s="64" t="s">
        <v>54</v>
      </c>
      <c r="H3" s="70" t="s">
        <v>240</v>
      </c>
      <c r="I3" s="69">
        <v>494101</v>
      </c>
      <c r="J3" s="69" t="s">
        <v>105</v>
      </c>
      <c r="K3" s="70" t="s">
        <v>259</v>
      </c>
      <c r="L3" t="s">
        <v>215</v>
      </c>
    </row>
    <row r="4" spans="1:17" ht="18.75" x14ac:dyDescent="0.3">
      <c r="A4">
        <v>4</v>
      </c>
      <c r="B4" t="s">
        <v>213</v>
      </c>
      <c r="C4">
        <v>1999</v>
      </c>
      <c r="E4" s="64" t="s">
        <v>214</v>
      </c>
      <c r="F4" s="64" t="s">
        <v>60</v>
      </c>
      <c r="H4" s="70" t="s">
        <v>242</v>
      </c>
      <c r="I4" s="69">
        <v>493001</v>
      </c>
      <c r="J4" s="69" t="s">
        <v>120</v>
      </c>
      <c r="K4" s="70" t="s">
        <v>106</v>
      </c>
      <c r="L4" t="s">
        <v>259</v>
      </c>
    </row>
    <row r="5" spans="1:17" ht="18.75" x14ac:dyDescent="0.3">
      <c r="A5">
        <v>5</v>
      </c>
      <c r="B5" t="s">
        <v>216</v>
      </c>
      <c r="C5">
        <v>2000</v>
      </c>
      <c r="E5" s="64" t="s">
        <v>217</v>
      </c>
      <c r="F5" s="64" t="s">
        <v>58</v>
      </c>
      <c r="H5" s="70" t="s">
        <v>243</v>
      </c>
      <c r="I5" s="69">
        <v>496102</v>
      </c>
      <c r="J5" s="69" t="s">
        <v>122</v>
      </c>
      <c r="K5" s="70" t="s">
        <v>259</v>
      </c>
      <c r="L5" t="s">
        <v>106</v>
      </c>
    </row>
    <row r="6" spans="1:17" ht="18.75" x14ac:dyDescent="0.3">
      <c r="A6">
        <v>6</v>
      </c>
      <c r="B6" t="s">
        <v>200</v>
      </c>
      <c r="C6">
        <v>2001</v>
      </c>
      <c r="E6" s="64" t="s">
        <v>68</v>
      </c>
      <c r="F6" s="64" t="s">
        <v>51</v>
      </c>
      <c r="H6" s="70" t="s">
        <v>260</v>
      </c>
      <c r="I6" s="2">
        <v>495003</v>
      </c>
      <c r="J6" s="2" t="s">
        <v>126</v>
      </c>
      <c r="K6" s="67" t="s">
        <v>106</v>
      </c>
      <c r="L6" t="s">
        <v>261</v>
      </c>
      <c r="P6" s="2">
        <v>494101</v>
      </c>
      <c r="Q6" s="2" t="s">
        <v>105</v>
      </c>
    </row>
    <row r="7" spans="1:17" ht="18.75" x14ac:dyDescent="0.3">
      <c r="A7">
        <v>7</v>
      </c>
      <c r="B7" t="s">
        <v>201</v>
      </c>
      <c r="C7">
        <v>2002</v>
      </c>
      <c r="E7" s="64" t="s">
        <v>71</v>
      </c>
      <c r="F7" s="64" t="s">
        <v>64</v>
      </c>
      <c r="H7" s="70" t="s">
        <v>246</v>
      </c>
      <c r="I7" s="69">
        <v>495012</v>
      </c>
      <c r="J7" s="69" t="s">
        <v>133</v>
      </c>
      <c r="K7" s="70" t="s">
        <v>259</v>
      </c>
      <c r="L7" t="s">
        <v>262</v>
      </c>
      <c r="P7" s="69">
        <v>426011</v>
      </c>
      <c r="Q7" s="69" t="s">
        <v>110</v>
      </c>
    </row>
    <row r="8" spans="1:17" ht="18.75" x14ac:dyDescent="0.3">
      <c r="A8">
        <v>8</v>
      </c>
      <c r="B8" t="s">
        <v>218</v>
      </c>
      <c r="C8">
        <v>2003</v>
      </c>
      <c r="E8" s="64" t="s">
        <v>219</v>
      </c>
      <c r="F8" s="64" t="s">
        <v>64</v>
      </c>
      <c r="H8" s="70" t="s">
        <v>247</v>
      </c>
      <c r="I8" s="69">
        <v>492201</v>
      </c>
      <c r="J8" s="69" t="s">
        <v>135</v>
      </c>
      <c r="K8" s="70" t="s">
        <v>106</v>
      </c>
      <c r="L8" t="s">
        <v>263</v>
      </c>
      <c r="P8" s="69">
        <v>431001</v>
      </c>
      <c r="Q8" s="69" t="s">
        <v>118</v>
      </c>
    </row>
    <row r="9" spans="1:17" ht="18.75" x14ac:dyDescent="0.3">
      <c r="A9">
        <v>9</v>
      </c>
      <c r="B9" t="s">
        <v>203</v>
      </c>
      <c r="C9">
        <v>2004</v>
      </c>
      <c r="E9" s="64" t="s">
        <v>220</v>
      </c>
      <c r="F9" s="64" t="s">
        <v>64</v>
      </c>
      <c r="H9" s="70" t="s">
        <v>248</v>
      </c>
      <c r="I9" s="69">
        <v>492101</v>
      </c>
      <c r="J9" s="69" t="s">
        <v>139</v>
      </c>
      <c r="K9" s="70" t="s">
        <v>106</v>
      </c>
      <c r="L9" t="s">
        <v>264</v>
      </c>
      <c r="P9" s="71">
        <v>425103</v>
      </c>
      <c r="Q9" s="71" t="s">
        <v>115</v>
      </c>
    </row>
    <row r="10" spans="1:17" ht="18.75" x14ac:dyDescent="0.3">
      <c r="A10">
        <v>10</v>
      </c>
      <c r="B10" t="s">
        <v>204</v>
      </c>
      <c r="C10">
        <v>2005</v>
      </c>
      <c r="E10" s="64" t="s">
        <v>77</v>
      </c>
      <c r="F10" s="64" t="s">
        <v>54</v>
      </c>
      <c r="H10" s="70" t="s">
        <v>249</v>
      </c>
      <c r="I10" s="69">
        <v>494301</v>
      </c>
      <c r="J10" s="69" t="s">
        <v>141</v>
      </c>
      <c r="K10" s="70" t="s">
        <v>261</v>
      </c>
      <c r="L10" t="s">
        <v>265</v>
      </c>
      <c r="P10" s="69">
        <v>411408</v>
      </c>
      <c r="Q10" s="69" t="s">
        <v>187</v>
      </c>
    </row>
    <row r="11" spans="1:17" ht="18.75" x14ac:dyDescent="0.3">
      <c r="A11">
        <v>11</v>
      </c>
      <c r="B11" t="s">
        <v>205</v>
      </c>
      <c r="C11">
        <v>2006</v>
      </c>
      <c r="E11" s="64" t="s">
        <v>221</v>
      </c>
      <c r="F11" s="64" t="s">
        <v>60</v>
      </c>
      <c r="H11" s="70" t="s">
        <v>142</v>
      </c>
      <c r="I11" s="69">
        <v>497001</v>
      </c>
      <c r="J11" s="69" t="s">
        <v>143</v>
      </c>
      <c r="K11" s="70" t="s">
        <v>106</v>
      </c>
      <c r="L11" s="70" t="s">
        <v>266</v>
      </c>
      <c r="P11" s="69">
        <v>470401</v>
      </c>
      <c r="Q11" s="69" t="s">
        <v>108</v>
      </c>
    </row>
    <row r="12" spans="1:17" ht="18.75" x14ac:dyDescent="0.3">
      <c r="A12">
        <v>12</v>
      </c>
      <c r="B12" t="s">
        <v>206</v>
      </c>
      <c r="C12">
        <v>2007</v>
      </c>
      <c r="E12" s="64" t="s">
        <v>83</v>
      </c>
      <c r="F12" s="64" t="s">
        <v>58</v>
      </c>
      <c r="H12" s="68" t="s">
        <v>250</v>
      </c>
      <c r="I12" s="69">
        <v>496101</v>
      </c>
      <c r="J12" s="69" t="s">
        <v>159</v>
      </c>
      <c r="K12" s="70" t="s">
        <v>106</v>
      </c>
      <c r="P12" s="69">
        <v>426411</v>
      </c>
      <c r="Q12" s="69" t="s">
        <v>155</v>
      </c>
    </row>
    <row r="13" spans="1:17" ht="18.75" x14ac:dyDescent="0.3">
      <c r="A13">
        <v>13</v>
      </c>
      <c r="B13" s="60" t="s">
        <v>22</v>
      </c>
      <c r="C13">
        <v>2008</v>
      </c>
      <c r="E13" s="64" t="s">
        <v>222</v>
      </c>
      <c r="F13" s="64" t="s">
        <v>58</v>
      </c>
      <c r="H13" s="70" t="s">
        <v>252</v>
      </c>
      <c r="I13" s="69">
        <v>490001</v>
      </c>
      <c r="J13" s="69" t="s">
        <v>182</v>
      </c>
      <c r="K13" s="70" t="s">
        <v>106</v>
      </c>
      <c r="P13" s="69">
        <v>460410</v>
      </c>
      <c r="Q13" s="69" t="s">
        <v>128</v>
      </c>
    </row>
    <row r="14" spans="1:17" ht="18.75" x14ac:dyDescent="0.3">
      <c r="A14">
        <v>14</v>
      </c>
      <c r="C14">
        <v>2009</v>
      </c>
      <c r="E14" s="64" t="s">
        <v>223</v>
      </c>
      <c r="F14" s="64" t="s">
        <v>58</v>
      </c>
      <c r="H14" s="68" t="s">
        <v>253</v>
      </c>
      <c r="I14" s="69">
        <v>492301</v>
      </c>
      <c r="J14" s="69" t="s">
        <v>184</v>
      </c>
      <c r="K14" s="70" t="s">
        <v>106</v>
      </c>
      <c r="P14" s="69">
        <v>411310</v>
      </c>
      <c r="Q14" s="69" t="s">
        <v>167</v>
      </c>
    </row>
    <row r="15" spans="1:17" ht="18.75" x14ac:dyDescent="0.3">
      <c r="A15">
        <v>15</v>
      </c>
      <c r="C15">
        <v>2010</v>
      </c>
      <c r="E15" s="64" t="s">
        <v>224</v>
      </c>
      <c r="F15" s="64" t="s">
        <v>58</v>
      </c>
      <c r="H15" s="70" t="s">
        <v>245</v>
      </c>
      <c r="I15" s="69">
        <v>411307</v>
      </c>
      <c r="J15" s="69" t="s">
        <v>130</v>
      </c>
      <c r="K15" s="70" t="s">
        <v>262</v>
      </c>
      <c r="P15" s="69">
        <v>480101</v>
      </c>
      <c r="Q15" s="69" t="s">
        <v>235</v>
      </c>
    </row>
    <row r="16" spans="1:17" ht="18.75" x14ac:dyDescent="0.3">
      <c r="A16">
        <v>16</v>
      </c>
      <c r="C16">
        <v>2011</v>
      </c>
      <c r="E16" s="64" t="s">
        <v>88</v>
      </c>
      <c r="F16" s="64" t="s">
        <v>54</v>
      </c>
      <c r="H16" s="70" t="s">
        <v>267</v>
      </c>
      <c r="I16" s="69">
        <v>411301</v>
      </c>
      <c r="J16" s="69" t="s">
        <v>175</v>
      </c>
      <c r="K16" s="70" t="s">
        <v>262</v>
      </c>
      <c r="P16" s="2">
        <v>493001</v>
      </c>
      <c r="Q16" s="2" t="s">
        <v>120</v>
      </c>
    </row>
    <row r="17" spans="1:17" ht="18.75" x14ac:dyDescent="0.3">
      <c r="A17">
        <v>17</v>
      </c>
      <c r="C17">
        <v>2012</v>
      </c>
      <c r="E17" s="64" t="s">
        <v>6</v>
      </c>
      <c r="F17" s="64" t="s">
        <v>60</v>
      </c>
      <c r="H17" s="70" t="s">
        <v>244</v>
      </c>
      <c r="I17" s="69">
        <v>411001</v>
      </c>
      <c r="J17" s="69" t="s">
        <v>124</v>
      </c>
      <c r="K17" s="70" t="s">
        <v>262</v>
      </c>
      <c r="P17" s="2">
        <v>496102</v>
      </c>
      <c r="Q17" s="2" t="s">
        <v>122</v>
      </c>
    </row>
    <row r="18" spans="1:17" ht="18.75" x14ac:dyDescent="0.3">
      <c r="A18">
        <v>18</v>
      </c>
      <c r="C18">
        <v>2013</v>
      </c>
      <c r="E18" s="64" t="s">
        <v>28</v>
      </c>
      <c r="F18" s="64" t="s">
        <v>51</v>
      </c>
      <c r="H18" s="70" t="s">
        <v>241</v>
      </c>
      <c r="I18" s="69">
        <v>411310</v>
      </c>
      <c r="J18" s="69" t="s">
        <v>167</v>
      </c>
      <c r="K18" s="70" t="s">
        <v>262</v>
      </c>
      <c r="P18" s="69">
        <v>411001</v>
      </c>
      <c r="Q18" s="69" t="s">
        <v>124</v>
      </c>
    </row>
    <row r="19" spans="1:17" ht="18.75" x14ac:dyDescent="0.3">
      <c r="A19">
        <v>19</v>
      </c>
      <c r="C19">
        <v>2014</v>
      </c>
      <c r="E19" s="64" t="s">
        <v>93</v>
      </c>
      <c r="F19" s="64" t="s">
        <v>225</v>
      </c>
      <c r="H19" s="70" t="s">
        <v>254</v>
      </c>
      <c r="I19" s="69">
        <v>411403</v>
      </c>
      <c r="J19" s="69" t="s">
        <v>153</v>
      </c>
      <c r="K19" s="70" t="s">
        <v>262</v>
      </c>
      <c r="P19" s="2">
        <v>495003</v>
      </c>
      <c r="Q19" s="2" t="s">
        <v>126</v>
      </c>
    </row>
    <row r="20" spans="1:17" ht="18.75" x14ac:dyDescent="0.3">
      <c r="A20">
        <v>20</v>
      </c>
      <c r="C20">
        <v>2015</v>
      </c>
      <c r="E20" s="64" t="s">
        <v>94</v>
      </c>
      <c r="F20" s="64" t="s">
        <v>60</v>
      </c>
      <c r="H20" s="70" t="s">
        <v>251</v>
      </c>
      <c r="I20" s="69">
        <v>411401</v>
      </c>
      <c r="J20" s="69" t="s">
        <v>149</v>
      </c>
      <c r="K20" s="70" t="s">
        <v>262</v>
      </c>
      <c r="P20" s="69">
        <v>411307</v>
      </c>
      <c r="Q20" s="69" t="s">
        <v>130</v>
      </c>
    </row>
    <row r="21" spans="1:17" ht="18.75" x14ac:dyDescent="0.3">
      <c r="A21">
        <v>21</v>
      </c>
      <c r="C21">
        <v>2016</v>
      </c>
      <c r="E21" s="64" t="s">
        <v>226</v>
      </c>
      <c r="F21" s="64" t="s">
        <v>51</v>
      </c>
      <c r="H21" s="70" t="s">
        <v>258</v>
      </c>
      <c r="I21" s="171">
        <v>411003</v>
      </c>
      <c r="J21" s="171" t="s">
        <v>157</v>
      </c>
      <c r="K21" s="70" t="s">
        <v>262</v>
      </c>
      <c r="P21" s="71">
        <v>461401</v>
      </c>
      <c r="Q21" s="71" t="s">
        <v>145</v>
      </c>
    </row>
    <row r="22" spans="1:17" ht="18.75" x14ac:dyDescent="0.3">
      <c r="A22">
        <v>22</v>
      </c>
      <c r="C22">
        <v>2017</v>
      </c>
      <c r="E22" s="64" t="s">
        <v>37</v>
      </c>
      <c r="F22" s="64" t="s">
        <v>67</v>
      </c>
      <c r="H22" s="70" t="s">
        <v>256</v>
      </c>
      <c r="I22" s="69">
        <v>460410</v>
      </c>
      <c r="J22" s="69" t="s">
        <v>128</v>
      </c>
      <c r="K22" s="70" t="s">
        <v>262</v>
      </c>
      <c r="P22" s="2">
        <v>495012</v>
      </c>
      <c r="Q22" s="2" t="s">
        <v>133</v>
      </c>
    </row>
    <row r="23" spans="1:17" ht="18.75" x14ac:dyDescent="0.3">
      <c r="A23">
        <v>23</v>
      </c>
      <c r="C23">
        <v>2018</v>
      </c>
      <c r="E23" s="64" t="s">
        <v>215</v>
      </c>
      <c r="H23" s="70" t="s">
        <v>268</v>
      </c>
      <c r="I23" s="69">
        <v>461101</v>
      </c>
      <c r="J23" s="69" t="s">
        <v>162</v>
      </c>
      <c r="K23" s="70" t="s">
        <v>263</v>
      </c>
      <c r="P23" s="2">
        <v>492201</v>
      </c>
      <c r="Q23" s="2" t="s">
        <v>135</v>
      </c>
    </row>
    <row r="24" spans="1:17" ht="18.75" x14ac:dyDescent="0.3">
      <c r="A24">
        <v>24</v>
      </c>
      <c r="C24">
        <v>2019</v>
      </c>
      <c r="E24" s="64"/>
      <c r="H24" s="70" t="s">
        <v>269</v>
      </c>
      <c r="I24" s="69">
        <v>411302</v>
      </c>
      <c r="J24" s="69" t="s">
        <v>270</v>
      </c>
      <c r="K24" s="70" t="s">
        <v>263</v>
      </c>
      <c r="P24" s="2">
        <v>492101</v>
      </c>
      <c r="Q24" s="2" t="s">
        <v>139</v>
      </c>
    </row>
    <row r="25" spans="1:17" ht="18.75" x14ac:dyDescent="0.3">
      <c r="A25">
        <v>25</v>
      </c>
      <c r="C25">
        <v>2020</v>
      </c>
      <c r="E25" s="64"/>
      <c r="H25" s="70" t="s">
        <v>271</v>
      </c>
      <c r="I25" s="69">
        <v>425103</v>
      </c>
      <c r="J25" s="69" t="s">
        <v>115</v>
      </c>
      <c r="K25" s="70" t="s">
        <v>263</v>
      </c>
      <c r="P25" s="69">
        <v>461101</v>
      </c>
      <c r="Q25" s="69" t="s">
        <v>162</v>
      </c>
    </row>
    <row r="26" spans="1:17" ht="18.75" x14ac:dyDescent="0.3">
      <c r="A26">
        <v>26</v>
      </c>
      <c r="C26">
        <v>2021</v>
      </c>
      <c r="E26" s="64" t="s">
        <v>63</v>
      </c>
      <c r="H26" s="70" t="s">
        <v>272</v>
      </c>
      <c r="I26" s="69">
        <v>461401</v>
      </c>
      <c r="J26" s="69" t="s">
        <v>145</v>
      </c>
      <c r="K26" s="70" t="s">
        <v>263</v>
      </c>
      <c r="P26" s="2">
        <v>494301</v>
      </c>
      <c r="Q26" s="2" t="s">
        <v>141</v>
      </c>
    </row>
    <row r="27" spans="1:17" ht="18.75" x14ac:dyDescent="0.3">
      <c r="A27">
        <v>27</v>
      </c>
      <c r="C27">
        <v>2022</v>
      </c>
      <c r="E27" s="64" t="s">
        <v>227</v>
      </c>
      <c r="H27" s="70" t="s">
        <v>273</v>
      </c>
      <c r="I27" s="69">
        <v>431001</v>
      </c>
      <c r="J27" s="69" t="s">
        <v>118</v>
      </c>
      <c r="K27" s="70" t="s">
        <v>263</v>
      </c>
      <c r="P27" s="2">
        <v>497001</v>
      </c>
      <c r="Q27" s="2" t="s">
        <v>143</v>
      </c>
    </row>
    <row r="28" spans="1:17" ht="18.75" x14ac:dyDescent="0.3">
      <c r="A28">
        <v>28</v>
      </c>
      <c r="C28">
        <v>2023</v>
      </c>
      <c r="E28" s="64" t="s">
        <v>228</v>
      </c>
      <c r="H28" s="70" t="s">
        <v>274</v>
      </c>
      <c r="I28" s="172">
        <v>431001</v>
      </c>
      <c r="J28" s="173" t="s">
        <v>118</v>
      </c>
      <c r="K28" s="70" t="s">
        <v>263</v>
      </c>
      <c r="P28" s="69">
        <v>496101</v>
      </c>
      <c r="Q28" s="69" t="s">
        <v>159</v>
      </c>
    </row>
    <row r="29" spans="1:17" ht="18.75" x14ac:dyDescent="0.3">
      <c r="A29">
        <v>29</v>
      </c>
      <c r="C29">
        <v>2024</v>
      </c>
      <c r="E29" s="64" t="s">
        <v>229</v>
      </c>
      <c r="H29" s="70" t="s">
        <v>275</v>
      </c>
      <c r="I29" s="172">
        <v>411408</v>
      </c>
      <c r="J29" s="173" t="s">
        <v>187</v>
      </c>
      <c r="K29" s="70" t="s">
        <v>263</v>
      </c>
      <c r="P29" s="69">
        <v>411406</v>
      </c>
      <c r="Q29" s="69" t="s">
        <v>164</v>
      </c>
    </row>
    <row r="30" spans="1:17" ht="18.75" x14ac:dyDescent="0.3">
      <c r="A30">
        <v>30</v>
      </c>
      <c r="C30">
        <v>2025</v>
      </c>
      <c r="E30" s="64" t="s">
        <v>21</v>
      </c>
      <c r="H30" s="70" t="s">
        <v>276</v>
      </c>
      <c r="I30" s="69">
        <v>460410</v>
      </c>
      <c r="J30" s="69" t="s">
        <v>277</v>
      </c>
      <c r="K30" s="70" t="s">
        <v>263</v>
      </c>
      <c r="P30" s="69">
        <v>470001</v>
      </c>
      <c r="Q30" s="69" t="s">
        <v>113</v>
      </c>
    </row>
    <row r="31" spans="1:17" ht="18.75" x14ac:dyDescent="0.3">
      <c r="A31">
        <v>31</v>
      </c>
      <c r="C31">
        <v>2026</v>
      </c>
      <c r="E31" s="64"/>
      <c r="H31" s="70" t="s">
        <v>257</v>
      </c>
      <c r="I31" s="69">
        <v>460012</v>
      </c>
      <c r="J31" s="69" t="s">
        <v>191</v>
      </c>
      <c r="K31" s="70" t="s">
        <v>263</v>
      </c>
      <c r="P31" s="72">
        <v>413116</v>
      </c>
      <c r="Q31" s="72" t="s">
        <v>230</v>
      </c>
    </row>
    <row r="32" spans="1:17" ht="15" customHeight="1" x14ac:dyDescent="0.3">
      <c r="A32" s="59" t="s">
        <v>22</v>
      </c>
      <c r="C32">
        <v>2027</v>
      </c>
      <c r="E32" s="64" t="s">
        <v>231</v>
      </c>
      <c r="H32" s="70" t="s">
        <v>278</v>
      </c>
      <c r="I32" s="172">
        <v>470001</v>
      </c>
      <c r="J32" s="173" t="s">
        <v>113</v>
      </c>
      <c r="K32" s="70" t="s">
        <v>279</v>
      </c>
      <c r="P32" s="69">
        <v>421101</v>
      </c>
      <c r="Q32" s="69" t="s">
        <v>169</v>
      </c>
    </row>
    <row r="33" spans="3:17" ht="15" customHeight="1" x14ac:dyDescent="0.3">
      <c r="C33">
        <v>2028</v>
      </c>
      <c r="E33" s="64" t="s">
        <v>233</v>
      </c>
      <c r="H33" s="70" t="s">
        <v>280</v>
      </c>
      <c r="I33" s="69">
        <v>426014</v>
      </c>
      <c r="J33" s="69" t="s">
        <v>189</v>
      </c>
      <c r="K33" s="70" t="s">
        <v>279</v>
      </c>
      <c r="P33" s="69">
        <v>426014</v>
      </c>
      <c r="Q33" s="69" t="s">
        <v>189</v>
      </c>
    </row>
    <row r="34" spans="3:17" ht="15" customHeight="1" x14ac:dyDescent="0.3">
      <c r="C34">
        <v>2029</v>
      </c>
      <c r="E34" s="64" t="s">
        <v>14</v>
      </c>
      <c r="H34" s="70" t="s">
        <v>281</v>
      </c>
      <c r="I34" s="69">
        <v>411406</v>
      </c>
      <c r="J34" s="69" t="s">
        <v>164</v>
      </c>
      <c r="K34" s="70" t="s">
        <v>279</v>
      </c>
      <c r="P34" s="69">
        <v>413110</v>
      </c>
      <c r="Q34" s="69" t="s">
        <v>236</v>
      </c>
    </row>
    <row r="35" spans="3:17" ht="18.75" x14ac:dyDescent="0.3">
      <c r="C35">
        <v>2030</v>
      </c>
      <c r="E35" s="64" t="s">
        <v>234</v>
      </c>
      <c r="H35" s="70" t="s">
        <v>282</v>
      </c>
      <c r="I35" s="69">
        <v>470401</v>
      </c>
      <c r="J35" s="69" t="s">
        <v>108</v>
      </c>
      <c r="K35" s="70" t="s">
        <v>279</v>
      </c>
      <c r="P35" s="69">
        <v>421401</v>
      </c>
      <c r="Q35" s="69" t="s">
        <v>147</v>
      </c>
    </row>
    <row r="36" spans="3:17" ht="18.75" x14ac:dyDescent="0.3">
      <c r="C36" s="59" t="s">
        <v>22</v>
      </c>
      <c r="E36" s="64" t="s">
        <v>215</v>
      </c>
      <c r="H36" s="70" t="s">
        <v>283</v>
      </c>
      <c r="I36" s="69">
        <v>470402</v>
      </c>
      <c r="J36" s="69" t="s">
        <v>151</v>
      </c>
      <c r="K36" s="70" t="s">
        <v>279</v>
      </c>
      <c r="P36" s="69">
        <v>411401</v>
      </c>
      <c r="Q36" s="69" t="s">
        <v>149</v>
      </c>
    </row>
    <row r="37" spans="3:17" ht="18.75" x14ac:dyDescent="0.3">
      <c r="E37" s="64"/>
      <c r="H37" s="70" t="s">
        <v>284</v>
      </c>
      <c r="I37" s="174">
        <v>411002</v>
      </c>
      <c r="J37" s="175" t="s">
        <v>285</v>
      </c>
      <c r="K37" s="70" t="s">
        <v>266</v>
      </c>
      <c r="P37" s="69">
        <v>426006</v>
      </c>
      <c r="Q37" s="69" t="s">
        <v>177</v>
      </c>
    </row>
    <row r="38" spans="3:17" ht="18.75" x14ac:dyDescent="0.3">
      <c r="E38" s="64"/>
      <c r="H38" s="70" t="s">
        <v>286</v>
      </c>
      <c r="I38" s="176">
        <v>426011</v>
      </c>
      <c r="J38" s="177" t="s">
        <v>110</v>
      </c>
      <c r="K38" s="70" t="s">
        <v>266</v>
      </c>
      <c r="P38" s="69">
        <v>480102</v>
      </c>
      <c r="Q38" s="69" t="s">
        <v>232</v>
      </c>
    </row>
    <row r="39" spans="3:17" ht="18.75" x14ac:dyDescent="0.3">
      <c r="H39" s="70" t="s">
        <v>287</v>
      </c>
      <c r="I39" s="172">
        <v>421101</v>
      </c>
      <c r="J39" s="173" t="s">
        <v>169</v>
      </c>
      <c r="K39" s="70" t="s">
        <v>266</v>
      </c>
      <c r="P39" s="69">
        <v>426012</v>
      </c>
      <c r="Q39" s="69" t="s">
        <v>180</v>
      </c>
    </row>
    <row r="40" spans="3:17" ht="18.75" x14ac:dyDescent="0.3">
      <c r="H40" s="178" t="s">
        <v>288</v>
      </c>
      <c r="I40" s="172">
        <v>426012</v>
      </c>
      <c r="J40" s="173" t="s">
        <v>180</v>
      </c>
      <c r="K40" s="70" t="s">
        <v>266</v>
      </c>
      <c r="P40" s="69">
        <v>411301</v>
      </c>
      <c r="Q40" s="69" t="s">
        <v>175</v>
      </c>
    </row>
    <row r="41" spans="3:17" ht="18.75" x14ac:dyDescent="0.3">
      <c r="H41" s="70" t="s">
        <v>289</v>
      </c>
      <c r="I41" s="179">
        <v>411104</v>
      </c>
      <c r="J41" s="177" t="s">
        <v>290</v>
      </c>
      <c r="K41" s="70" t="s">
        <v>266</v>
      </c>
      <c r="P41" s="2">
        <v>490001</v>
      </c>
      <c r="Q41" s="2" t="s">
        <v>182</v>
      </c>
    </row>
    <row r="42" spans="3:17" ht="18.75" x14ac:dyDescent="0.3">
      <c r="H42" s="70" t="s">
        <v>291</v>
      </c>
      <c r="I42" s="172">
        <v>421401</v>
      </c>
      <c r="J42" s="173" t="s">
        <v>147</v>
      </c>
      <c r="K42" s="70" t="s">
        <v>266</v>
      </c>
      <c r="P42" s="69">
        <v>492301</v>
      </c>
      <c r="Q42" s="69" t="s">
        <v>184</v>
      </c>
    </row>
    <row r="43" spans="3:17" ht="18.75" x14ac:dyDescent="0.3">
      <c r="H43" s="70" t="s">
        <v>292</v>
      </c>
      <c r="I43" s="173">
        <v>413116</v>
      </c>
      <c r="J43" s="173" t="s">
        <v>230</v>
      </c>
      <c r="K43" s="70" t="s">
        <v>264</v>
      </c>
      <c r="P43" s="69">
        <v>470402</v>
      </c>
      <c r="Q43" s="69" t="s">
        <v>151</v>
      </c>
    </row>
    <row r="44" spans="3:17" ht="18.75" x14ac:dyDescent="0.3">
      <c r="H44" s="70" t="s">
        <v>293</v>
      </c>
      <c r="I44" s="173">
        <v>413110</v>
      </c>
      <c r="J44" s="173" t="s">
        <v>236</v>
      </c>
      <c r="K44" s="70" t="s">
        <v>264</v>
      </c>
      <c r="P44" s="69">
        <v>411403</v>
      </c>
      <c r="Q44" s="69" t="s">
        <v>153</v>
      </c>
    </row>
    <row r="45" spans="3:17" ht="18.75" x14ac:dyDescent="0.3">
      <c r="H45" s="70" t="s">
        <v>294</v>
      </c>
      <c r="I45" s="69">
        <v>411103</v>
      </c>
      <c r="J45" s="180" t="s">
        <v>236</v>
      </c>
      <c r="K45" s="70" t="s">
        <v>264</v>
      </c>
      <c r="P45" s="69">
        <v>460012</v>
      </c>
      <c r="Q45" s="69" t="s">
        <v>191</v>
      </c>
    </row>
    <row r="46" spans="3:17" ht="18.75" x14ac:dyDescent="0.3">
      <c r="H46" s="70" t="s">
        <v>295</v>
      </c>
      <c r="I46" s="173">
        <v>480101</v>
      </c>
      <c r="J46" s="173" t="s">
        <v>235</v>
      </c>
      <c r="K46" s="70" t="s">
        <v>264</v>
      </c>
      <c r="P46" s="2">
        <v>495002</v>
      </c>
      <c r="Q46" s="2" t="s">
        <v>193</v>
      </c>
    </row>
    <row r="47" spans="3:17" ht="18.75" x14ac:dyDescent="0.3">
      <c r="H47" s="70"/>
      <c r="I47" s="69"/>
    </row>
    <row r="48" spans="3:17" ht="18.75" x14ac:dyDescent="0.3">
      <c r="H48" s="73"/>
      <c r="I48" s="69"/>
    </row>
    <row r="49" spans="8:9" ht="18.75" x14ac:dyDescent="0.3">
      <c r="H49" s="70"/>
      <c r="I49" s="69"/>
    </row>
    <row r="50" spans="8:9" ht="18.75" x14ac:dyDescent="0.3">
      <c r="H50" s="70"/>
      <c r="I50" s="69"/>
    </row>
    <row r="51" spans="8:9" ht="18.75" x14ac:dyDescent="0.3">
      <c r="H51" s="67"/>
      <c r="I51" s="2"/>
    </row>
    <row r="52" spans="8:9" ht="18.75" x14ac:dyDescent="0.3">
      <c r="H52" s="68"/>
      <c r="I52" s="69"/>
    </row>
    <row r="53" spans="8:9" ht="18.75" x14ac:dyDescent="0.3">
      <c r="H53" s="70"/>
      <c r="I53" s="69"/>
    </row>
    <row r="54" spans="8:9" ht="18.75" x14ac:dyDescent="0.3">
      <c r="H54" s="70"/>
      <c r="I54" s="69"/>
    </row>
    <row r="55" spans="8:9" ht="18.75" x14ac:dyDescent="0.3">
      <c r="H55" s="70"/>
      <c r="I55" s="69"/>
    </row>
    <row r="56" spans="8:9" ht="18.75" x14ac:dyDescent="0.3">
      <c r="H56" s="70"/>
      <c r="I56" s="69"/>
    </row>
    <row r="57" spans="8:9" ht="18.75" x14ac:dyDescent="0.3">
      <c r="H57" s="70"/>
      <c r="I57" s="69"/>
    </row>
    <row r="58" spans="8:9" ht="18.75" x14ac:dyDescent="0.3">
      <c r="H58" s="70"/>
      <c r="I58" s="69"/>
    </row>
    <row r="59" spans="8:9" ht="18.75" x14ac:dyDescent="0.3">
      <c r="H59" s="70"/>
      <c r="I59" s="69"/>
    </row>
    <row r="60" spans="8:9" ht="18.75" x14ac:dyDescent="0.3">
      <c r="H60" s="67"/>
      <c r="I60" s="2"/>
    </row>
    <row r="61" spans="8:9" ht="18.75" x14ac:dyDescent="0.3">
      <c r="H61" s="74"/>
      <c r="I61" s="75"/>
    </row>
  </sheetData>
  <autoFilter ref="H1:I1" xr:uid="{F409D7B2-B8FC-445A-B295-7D4FC5D2B33F}">
    <sortState xmlns:xlrd2="http://schemas.microsoft.com/office/spreadsheetml/2017/richdata2" ref="H2:I60">
      <sortCondition ref="H1"/>
    </sortState>
  </autoFilter>
  <phoneticPr fontId="18" type="noConversion"/>
  <conditionalFormatting sqref="H47:H60">
    <cfRule type="duplicateValues" dxfId="4" priority="4" stopIfTrue="1"/>
  </conditionalFormatting>
  <conditionalFormatting sqref="H54:H60">
    <cfRule type="duplicateValues" dxfId="3" priority="5" stopIfTrue="1"/>
  </conditionalFormatting>
  <conditionalFormatting sqref="P6:Q46">
    <cfRule type="duplicateValues" dxfId="2" priority="2"/>
  </conditionalFormatting>
  <conditionalFormatting sqref="H2:H46">
    <cfRule type="duplicateValues" dxfId="0" priority="1" stopIfTrue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RH-2024</vt:lpstr>
      <vt:lpstr>Hoja2</vt:lpstr>
      <vt:lpstr>'RH-2024'!Área_de_impresión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 Lourdes Aranda</dc:creator>
  <cp:keywords/>
  <dc:description/>
  <cp:lastModifiedBy>Ana Citlali Avelar Perez</cp:lastModifiedBy>
  <cp:revision/>
  <cp:lastPrinted>2024-09-02T16:19:37Z</cp:lastPrinted>
  <dcterms:created xsi:type="dcterms:W3CDTF">2021-12-30T16:42:22Z</dcterms:created>
  <dcterms:modified xsi:type="dcterms:W3CDTF">2024-09-02T18:46:40Z</dcterms:modified>
  <cp:category/>
  <cp:contentStatus/>
</cp:coreProperties>
</file>